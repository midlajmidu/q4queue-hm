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e25c6faeb4a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ion Validation" sheetId="1" r:id="R71b838dbd33742c0"/>
    <x:sheet xmlns:r="http://schemas.openxmlformats.org/officeDocument/2006/relationships" name="Assumptions" sheetId="2" r:id="R7e973a0c0dba4112"/>
    <x:sheet xmlns:r="http://schemas.openxmlformats.org/officeDocument/2006/relationships" name="Plan Economics" sheetId="3" r:id="Rc860245ac367493d"/>
    <x:sheet xmlns:r="http://schemas.openxmlformats.org/officeDocument/2006/relationships" name="Scale Simulator" sheetId="4" r:id="R6ff98577c5184b64"/>
    <x:sheet xmlns:r="http://schemas.openxmlformats.org/officeDocument/2006/relationships" name="Volume Costs" sheetId="5" r:id="R97b2a0092e5a437a"/>
    <x:sheet xmlns:r="http://schemas.openxmlformats.org/officeDocument/2006/relationships" name="Break Even" sheetId="6" r:id="R9cc0c577f6364f4f"/>
    <x:sheet xmlns:r="http://schemas.openxmlformats.org/officeDocument/2006/relationships" name="Sources" sheetId="7" r:id="R34426daec60a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"/>
    <x:numFmt numFmtId="201" formatCode="₹#,##0;[Red](₹#,##0);-"/>
    <x:numFmt numFmtId="202" formatCode="₹0.00;[Red](₹0.00);-"/>
    <x:numFmt numFmtId="203" formatCode="0.0%"/>
    <x:numFmt numFmtId="204" formatCode="#,##0"/>
  </x:numFmts>
  <x:fonts count="14">
    <x:font>
      <x:sz val="11"/>
      <x:name val="Carlito"/>
    </x:font>
    <x:font>
      <x:b/>
      <x:sz val="16"/>
      <x:color rgb="FF17324D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17324D"/>
      <x:name val="Arial"/>
    </x:font>
    <x:font>
      <x:sz val="11"/>
      <x:name val="Arial"/>
    </x:font>
    <x:font>
      <x:i/>
      <x:sz val="10"/>
      <x:color rgb="FF667085"/>
      <x:name val="Arial"/>
    </x:font>
    <x:font>
      <x:b/>
      <x:sz val="11"/>
      <x:color rgb="FFFFFFFF"/>
      <x:name val="Arial"/>
    </x:font>
    <x:font>
      <x:b/>
      <x:sz val="11"/>
      <x:color rgb="FF17324D"/>
      <x:name val="Arial"/>
    </x:font>
    <x:font>
      <x:sz val="11"/>
      <x:color rgb="FF0000FF"/>
      <x:name val="Carlito"/>
    </x:font>
    <x:font>
      <x:b/>
      <x:sz val="11"/>
      <x:name val="Carlito"/>
    </x:font>
    <x:font>
      <x:sz val="11"/>
      <x:color rgb="FF0000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</x:fills>
  <x:borders count="7">
    <x:border/>
    <x:border>
      <x:bottom style="thin">
        <x:color rgb="FF9AA4B2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B8C5D1"/>
      </x:left>
      <x:top style="thin">
        <x:color rgb="FFB8C5D1"/>
      </x:top>
      <x:bottom style="thin">
        <x:color rgb="FFB8C5D1"/>
      </x:bottom>
    </x:border>
    <x:border>
      <x:top style="thin">
        <x:color rgb="FFB8C5D1"/>
      </x:top>
      <x:bottom style="thin">
        <x:color rgb="FFB8C5D1"/>
      </x:bottom>
    </x:border>
    <x:border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95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5" fillId="0" borderId="1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6" fillId="0" borderId="0" xfId="0" applyNumberFormat="1" applyFont="1" applyFill="1" applyBorder="1"/>
    <x:xf numFmtId="0" fontId="8" fillId="2" borderId="2" xfId="0" applyNumberFormat="1" applyFont="1" applyFill="1" applyBorder="1" applyAlignment="1">
      <x:alignment horizontal="center" vertical="center" wrapText="1"/>
    </x:xf>
    <x:xf numFmtId="0" fontId="6" fillId="0" borderId="3" xfId="0" applyNumberFormat="1" applyFont="1" applyFill="1" applyBorder="1" applyAlignment="1">
      <x:alignment wrapText="1"/>
    </x:xf>
    <x:xf numFmtId="0" fontId="9" fillId="3" borderId="4" xfId="0" applyNumberFormat="1" applyFont="1" applyFill="1" applyBorder="1"/>
    <x:xf numFmtId="0" fontId="9" fillId="3" borderId="5" xfId="0" applyNumberFormat="1" applyFont="1" applyFill="1" applyBorder="1"/>
    <x:xf numFmtId="0" fontId="9" fillId="3" borderId="6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 wrapText="1"/>
    </x:xf>
    <x:xf numFmtId="0" fontId="9" fillId="3" borderId="4" xfId="0" applyNumberFormat="1" applyFont="1" applyFill="1" applyBorder="1" applyAlignment="1">
      <x:alignment vertical="center"/>
    </x:xf>
    <x:xf numFmtId="0" fontId="9" fillId="3" borderId="5" xfId="0" applyNumberFormat="1" applyFont="1" applyFill="1" applyBorder="1" applyAlignment="1">
      <x:alignment vertical="center"/>
    </x:xf>
    <x:xf numFmtId="0" fontId="9" fillId="3" borderId="6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200" fontId="10" fillId="0" borderId="0" xfId="0" applyNumberFormat="1" applyFont="1" applyFill="1" applyBorder="1"/>
    <x:xf numFmtId="201" fontId="10" fillId="0" borderId="0" xfId="0" applyNumberFormat="1" applyFont="1" applyFill="1" applyBorder="1"/>
    <x:xf numFmtId="202" fontId="10" fillId="0" borderId="0" xfId="0" applyNumberFormat="1" applyFont="1" applyFill="1" applyBorder="1"/>
    <x:xf numFmtId="203" fontId="10" fillId="0" borderId="0" xfId="0" applyNumberFormat="1" applyFont="1" applyFill="1" applyBorder="1"/>
    <x:xf numFmtId="204" fontId="1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1" fillId="0" borderId="0" xfId="0" applyNumberFormat="1" applyFont="1" applyFill="1" applyBorder="1"/>
    <x:xf numFmtId="203" fontId="11" fillId="0" borderId="0" xfId="0" applyNumberFormat="1" applyFont="1" applyFill="1" applyBorder="1"/>
    <x:xf numFmtId="204" fontId="11" fillId="0" borderId="0" xfId="0" applyNumberFormat="1" applyFont="1" applyFill="1" applyBorder="1"/>
    <x:xf numFmtId="201" fontId="11" fillId="0" borderId="0" xfId="0" applyNumberFormat="1" applyFont="1" applyFill="1" applyBorder="1"/>
    <x:xf numFmtId="200" fontId="12" fillId="0" borderId="0" xfId="0" applyNumberFormat="1" applyFont="1" applyFill="1" applyBorder="1"/>
    <x:xf numFmtId="201" fontId="12" fillId="0" borderId="0" xfId="0" applyNumberFormat="1" applyFont="1" applyFill="1" applyBorder="1"/>
    <x:xf numFmtId="202" fontId="12" fillId="0" borderId="0" xfId="0" applyNumberFormat="1" applyFont="1" applyFill="1" applyBorder="1"/>
    <x:xf numFmtId="203" fontId="12" fillId="0" borderId="0" xfId="0" applyNumberFormat="1" applyFont="1" applyFill="1" applyBorder="1"/>
    <x:xf numFmtId="204" fontId="12" fillId="0" borderId="0" xfId="0" applyNumberFormat="1" applyFont="1" applyFill="1" applyBorder="1"/>
    <x:xf numFmtId="204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13" fillId="0" borderId="0" xfId="0" applyNumberFormat="1" applyFont="1" applyFill="1" applyBorder="1"/>
    <x:xf numFmtId="203" fontId="13" fillId="0" borderId="0" xfId="0" applyNumberFormat="1" applyFont="1" applyFill="1" applyBorder="1"/>
    <x:xf numFmtId="204" fontId="13" fillId="0" borderId="0" xfId="0" applyNumberFormat="1" applyFont="1" applyFill="1" applyBorder="1"/>
    <x:xf numFmtId="201" fontId="13" fillId="0" borderId="0" xfId="0" applyNumberFormat="1" applyFont="1" applyFill="1" applyBorder="1"/>
    <x:xf numFmtId="200" fontId="12" fillId="0" borderId="0" xfId="0" applyNumberFormat="1" applyFont="1" applyFill="1" applyBorder="1" applyAlignment="1">
      <x:alignment vertical="center"/>
    </x:xf>
    <x:xf numFmtId="201" fontId="12" fillId="0" borderId="0" xfId="0" applyNumberFormat="1" applyFont="1" applyFill="1" applyBorder="1" applyAlignment="1">
      <x:alignment vertical="center"/>
    </x:xf>
    <x:xf numFmtId="202" fontId="12" fillId="0" borderId="0" xfId="0" applyNumberFormat="1" applyFont="1" applyFill="1" applyBorder="1" applyAlignment="1">
      <x:alignment vertical="center"/>
    </x:xf>
    <x:xf numFmtId="203" fontId="12" fillId="0" borderId="0" xfId="0" applyNumberFormat="1" applyFont="1" applyFill="1" applyBorder="1" applyAlignment="1">
      <x:alignment vertical="center"/>
    </x:xf>
    <x:xf numFmtId="204" fontId="12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203" fontId="13" fillId="0" borderId="0" xfId="0" applyNumberFormat="1" applyFont="1" applyFill="1" applyBorder="1" applyAlignment="1">
      <x:alignment vertical="center"/>
    </x:xf>
    <x:xf numFmtId="204" fontId="13" fillId="0" borderId="0" xfId="0" applyNumberFormat="1" applyFont="1" applyFill="1" applyBorder="1" applyAlignment="1">
      <x:alignment vertical="center"/>
    </x:xf>
    <x:xf numFmtId="201" fontId="13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9" fillId="3" borderId="4" xfId="0" applyNumberFormat="1" applyFont="1" applyFill="1" applyBorder="1" applyAlignment="1">
      <x:alignment vertical="center" wrapText="1"/>
    </x:xf>
    <x:xf numFmtId="0" fontId="9" fillId="3" borderId="5" xfId="0" applyNumberFormat="1" applyFont="1" applyFill="1" applyBorder="1" applyAlignment="1">
      <x:alignment vertical="center" wrapText="1"/>
    </x:xf>
    <x:xf numFmtId="0" fontId="9" fillId="3" borderId="6" xfId="0" applyNumberFormat="1" applyFont="1" applyFill="1" applyBorder="1" applyAlignment="1">
      <x:alignment vertical="center" wrapText="1"/>
    </x:xf>
    <x:xf numFmtId="200" fontId="12" fillId="0" borderId="0" xfId="0" applyNumberFormat="1" applyFont="1" applyFill="1" applyBorder="1" applyAlignment="1">
      <x:alignment vertical="center" wrapText="1"/>
    </x:xf>
    <x:xf numFmtId="201" fontId="12" fillId="0" borderId="0" xfId="0" applyNumberFormat="1" applyFont="1" applyFill="1" applyBorder="1" applyAlignment="1">
      <x:alignment vertical="center" wrapText="1"/>
    </x:xf>
    <x:xf numFmtId="202" fontId="12" fillId="0" borderId="0" xfId="0" applyNumberFormat="1" applyFont="1" applyFill="1" applyBorder="1" applyAlignment="1">
      <x:alignment vertical="center" wrapText="1"/>
    </x:xf>
    <x:xf numFmtId="203" fontId="12" fillId="0" borderId="0" xfId="0" applyNumberFormat="1" applyFont="1" applyFill="1" applyBorder="1" applyAlignment="1">
      <x:alignment vertical="center" wrapText="1"/>
    </x:xf>
    <x:xf numFmtId="204" fontId="12" fillId="0" borderId="0" xfId="0" applyNumberFormat="1" applyFont="1" applyFill="1" applyBorder="1" applyAlignment="1">
      <x:alignment vertical="center" wrapText="1"/>
    </x:xf>
    <x:xf numFmtId="204" fontId="6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203" fontId="13" fillId="0" borderId="0" xfId="0" applyNumberFormat="1" applyFont="1" applyFill="1" applyBorder="1" applyAlignment="1">
      <x:alignment vertical="center" wrapText="1"/>
    </x:xf>
    <x:xf numFmtId="204" fontId="13" fillId="0" borderId="0" xfId="0" applyNumberFormat="1" applyFont="1" applyFill="1" applyBorder="1" applyAlignment="1">
      <x:alignment vertical="center" wrapText="1"/>
    </x:xf>
    <x:xf numFmtId="201" fontId="13" fillId="0" borderId="0" xfId="0" applyNumberFormat="1" applyFont="1" applyFill="1" applyBorder="1" applyAlignment="1">
      <x:alignment vertical="center" wrapText="1"/>
    </x:xf>
    <x:xf numFmtId="203" fontId="6" fillId="0" borderId="0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6" fillId="0" borderId="0" xfId="0" applyNumberFormat="1" applyFont="1" applyFill="1" applyBorder="1"/>
    <x:xf numFmtId="203" fontId="6" fillId="0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58059b78ca495a" /><Relationship Type="http://schemas.openxmlformats.org/officeDocument/2006/relationships/theme" Target="/xl/theme/theme1.xml" Id="R9b38d00a3d744fc9" /><Relationship Type="http://schemas.openxmlformats.org/officeDocument/2006/relationships/sharedStrings" Target="/xl/sharedStrings.xml" Id="R342eaee912d34282" /><Relationship Type="http://schemas.openxmlformats.org/officeDocument/2006/relationships/worksheet" Target="/xl/worksheets/sheet1.xml" Id="R71b838dbd33742c0" /><Relationship Type="http://schemas.openxmlformats.org/officeDocument/2006/relationships/worksheet" Target="/xl/worksheets/sheet2.xml" Id="R7e973a0c0dba4112" /><Relationship Type="http://schemas.openxmlformats.org/officeDocument/2006/relationships/worksheet" Target="/xl/worksheets/sheet3.xml" Id="Rc860245ac367493d" /><Relationship Type="http://schemas.openxmlformats.org/officeDocument/2006/relationships/worksheet" Target="/xl/worksheets/sheet4.xml" Id="R6ff98577c5184b64" /><Relationship Type="http://schemas.openxmlformats.org/officeDocument/2006/relationships/worksheet" Target="/xl/worksheets/sheet5.xml" Id="R97b2a0092e5a437a" /><Relationship Type="http://schemas.openxmlformats.org/officeDocument/2006/relationships/worksheet" Target="/xl/worksheets/sheet6.xml" Id="R9cc0c577f6364f4f" /><Relationship Type="http://schemas.openxmlformats.org/officeDocument/2006/relationships/worksheet" Target="/xl/worksheets/sheet7.xml" Id="R34426daec60a4c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8" hidden="0" customWidth="1"/>
    <x:col min="4" max="4" width="25" hidden="0" customWidth="1"/>
    <x:col min="5" max="5" width="25" hidden="0" customWidth="1"/>
    <x:col min="6" max="6" width="38" hidden="0" customWidth="1"/>
    <x:col min="7" max="7" width="38" hidden="0" customWidth="1"/>
  </x:cols>
  <x:sheetData>
    <x:row r="1">
      <x:c r="A1" s="26" t="str">
        <x:v>Known vs unknown production metrics</x:v>
      </x:c>
      <x:c r="B1" s="27"/>
      <x:c r="C1" s="27"/>
      <x:c r="D1" s="27"/>
      <x:c r="E1" s="27"/>
      <x:c r="F1" s="27"/>
      <x:c r="G1" s="27"/>
    </x:row>
    <x:row r="2">
      <x:c r="A2" s="28" t="str">
        <x:v>Local observations are not production facts. Replace unknowns with provider invoices and production-server measurements before approving pricing.</x:v>
      </x:c>
      <x:c r="B2" s="28"/>
      <x:c r="C2" s="28"/>
      <x:c r="D2" s="28"/>
      <x:c r="E2" s="28"/>
      <x:c r="F2" s="28"/>
      <x:c r="G2" s="28"/>
    </x:row>
    <x:row r="3">
      <x:c r="A3" s="29"/>
      <x:c r="B3" s="29"/>
      <x:c r="C3" s="29"/>
      <x:c r="D3" s="29"/>
      <x:c r="E3" s="29"/>
      <x:c r="F3" s="29"/>
      <x:c r="G3" s="29"/>
    </x:row>
    <x:row r="4">
      <x:c r="A4" s="29"/>
      <x:c r="B4" s="29"/>
      <x:c r="C4" s="29"/>
      <x:c r="D4" s="29"/>
      <x:c r="E4" s="29"/>
      <x:c r="F4" s="29"/>
      <x:c r="G4" s="29"/>
    </x:row>
    <x:row r="5">
      <x:c r="A5" s="21" t="str">
        <x:v>Metric</x:v>
      </x:c>
      <x:c r="B5" s="21" t="str">
        <x:v>Current value</x:v>
      </x:c>
      <x:c r="C5" s="21" t="str">
        <x:v>Source</x:v>
      </x:c>
      <x:c r="D5" s="21" t="str">
        <x:v>Confidence</x:v>
      </x:c>
      <x:c r="E5" s="21" t="str">
        <x:v>Production status</x:v>
      </x:c>
      <x:c r="F5" s="21" t="str">
        <x:v>How to verify</x:v>
      </x:c>
      <x:c r="G5" s="21" t="str">
        <x:v>Owner / evidence needed</x:v>
      </x:c>
    </x:row>
    <x:row r="6">
      <x:c r="A6" s="30" t="str">
        <x:v>Production server cost</x:v>
      </x:c>
      <x:c r="B6" s="30" t="str">
        <x:v>Unknown; previous ₹4,560 is a benchmark</x:v>
      </x:c>
      <x:c r="C6" s="30" t="str">
        <x:v>No invoice in repository</x:v>
      </x:c>
      <x:c r="D6" s="30" t="str">
        <x:v>None</x:v>
      </x:c>
      <x:c r="E6" s="30" t="str">
        <x:v>UNKNOWN — NEEDS INPUT</x:v>
      </x:c>
      <x:c r="F6" s="30" t="str">
        <x:v>Export latest 3 host invoices and plan/spec page</x:v>
      </x:c>
      <x:c r="G6" s="30" t="str">
        <x:v>Founder / cloud billing admin</x:v>
      </x:c>
    </x:row>
    <x:row r="7">
      <x:c r="A7" s="30" t="str">
        <x:v>CPU</x:v>
      </x:c>
      <x:c r="B7" s="30" t="str">
        <x:v>Configured container limits total 5.0 vCPU; host guide minimum 4 vCPU</x:v>
      </x:c>
      <x:c r="C7" s="30" t="str">
        <x:v>docker-compose.yml; production guide</x:v>
      </x:c>
      <x:c r="D7" s="30" t="str">
        <x:v>High for configuration</x:v>
      </x:c>
      <x:c r="E7" s="30" t="str">
        <x:v>PROVISIONAL — actual host/peak unknown</x:v>
      </x:c>
      <x:c r="F7" s="30" t="str">
        <x:v>Run collection script during peak and export provider CPU metrics for 30 days</x:v>
      </x:c>
      <x:c r="G7" s="30" t="str">
        <x:v>DevOps</x:v>
      </x:c>
    </x:row>
    <x:row r="8">
      <x:c r="A8" s="30" t="str">
        <x:v>RAM</x:v>
      </x:c>
      <x:c r="B8" s="30" t="str">
        <x:v>Configured 2,432 MiB in root Compose; alternate production Compose 3,200 MiB</x:v>
      </x:c>
      <x:c r="C8" s="30" t="str">
        <x:v>Compose files</x:v>
      </x:c>
      <x:c r="D8" s="30" t="str">
        <x:v>High for configuration</x:v>
      </x:c>
      <x:c r="E8" s="30" t="str">
        <x:v>PROVISIONAL — actual host/peak unknown</x:v>
      </x:c>
      <x:c r="F8" s="30" t="str">
        <x:v>Run collection script during peak and export provider memory metrics for 30 days</x:v>
      </x:c>
      <x:c r="G8" s="30" t="str">
        <x:v>DevOps</x:v>
      </x:c>
    </x:row>
    <x:row r="9">
      <x:c r="A9" s="30" t="str">
        <x:v>Disk</x:v>
      </x:c>
      <x:c r="B9" s="30" t="str">
        <x:v>Guide: 50 GB minimum / 100+ GB recommended; local PostgreSQL volume 49,988,834 bytes</x:v>
      </x:c>
      <x:c r="C9" s="30" t="str">
        <x:v>Production guide; local Docker measurement</x:v>
      </x:c>
      <x:c r="D9" s="30" t="str">
        <x:v>High local / none production</x:v>
      </x:c>
      <x:c r="E9" s="30" t="str">
        <x:v>UNKNOWN — NEEDS INPUT</x:v>
      </x:c>
      <x:c r="F9" s="30" t="str">
        <x:v>Capture df, Docker volume usage, database and backup directories on production</x:v>
      </x:c>
      <x:c r="G9" s="30" t="str">
        <x:v>DevOps</x:v>
      </x:c>
    </x:row>
    <x:row r="10">
      <x:c r="A10" s="30" t="str">
        <x:v>Bandwidth</x:v>
      </x:c>
      <x:c r="B10" s="30" t="str">
        <x:v>Local container counters only; not a monthly production measure</x:v>
      </x:c>
      <x:c r="C10" s="30" t="str">
        <x:v>docker stats local snapshot</x:v>
      </x:c>
      <x:c r="D10" s="30" t="str">
        <x:v>None for production</x:v>
      </x:c>
      <x:c r="E10" s="30" t="str">
        <x:v>UNKNOWN — NEEDS INPUT</x:v>
      </x:c>
      <x:c r="F10" s="30" t="str">
        <x:v>Export provider/CDN monthly ingress and egress plus peak Mbps for 90 days</x:v>
      </x:c>
      <x:c r="G10" s="30" t="str">
        <x:v>Cloud billing admin</x:v>
      </x:c>
    </x:row>
    <x:row r="11">
      <x:c r="A11" s="30" t="str">
        <x:v>PostgreSQL size</x:v>
      </x:c>
      <x:c r="B11" s="30" t="str">
        <x:v>Local DB 9,567,591 bytes; local data directory 49,988,834 bytes</x:v>
      </x:c>
      <x:c r="C11" s="30" t="str">
        <x:v>Read-only local PostgreSQL measurement</x:v>
      </x:c>
      <x:c r="D11" s="30" t="str">
        <x:v>High local / none production</x:v>
      </x:c>
      <x:c r="E11" s="30" t="str">
        <x:v>UNKNOWN — NEEDS INPUT</x:v>
      </x:c>
      <x:c r="F11" s="30" t="str">
        <x:v>Run pg_database_size and pg_total_relation_size on production</x:v>
      </x:c>
      <x:c r="G11" s="30" t="str">
        <x:v>DBA / DevOps</x:v>
      </x:c>
    </x:row>
    <x:row r="12">
      <x:c r="A12" s="30" t="str">
        <x:v>Redis memory</x:v>
      </x:c>
      <x:c r="B12" s="30" t="str">
        <x:v>Local used 1.29 MiB; RSS 8.00 MiB; configured max 128 MiB</x:v>
      </x:c>
      <x:c r="C12" s="30" t="str">
        <x:v>redis-cli INFO memory on local stack</x:v>
      </x:c>
      <x:c r="D12" s="30" t="str">
        <x:v>High local / none production</x:v>
      </x:c>
      <x:c r="E12" s="30" t="str">
        <x:v>UNKNOWN — NEEDS INPUT</x:v>
      </x:c>
      <x:c r="F12" s="30" t="str">
        <x:v>Run Redis INFO memory/stats/clients at idle and peak on production</x:v>
      </x:c>
      <x:c r="G12" s="30" t="str">
        <x:v>DevOps</x:v>
      </x:c>
    </x:row>
    <x:row r="13">
      <x:c r="A13" s="30" t="str">
        <x:v>Monthly tokens</x:v>
      </x:c>
      <x:c r="B13" s="30" t="str">
        <x:v>Local live DB 0; retained full dump has 32 tokens in 2026-06; latest branch backup has 6 in 2026-08 and 1 in 2026-09</x:v>
      </x:c>
      <x:c r="C13" s="30" t="str">
        <x:v>Local DB and retained backup metadata</x:v>
      </x:c>
      <x:c r="D13" s="30" t="str">
        <x:v>High for artifacts / low production relevance</x:v>
      </x:c>
      <x:c r="E13" s="30" t="str">
        <x:v>UNKNOWN — NEEDS INPUT</x:v>
      </x:c>
      <x:c r="F13" s="30" t="str">
        <x:v>Query production tokens grouped by billing month and organisation for 12 months</x:v>
      </x:c>
      <x:c r="G13" s="30" t="str">
        <x:v>Product / DBA</x:v>
      </x:c>
    </x:row>
    <x:row r="14">
      <x:c r="A14" s="30" t="str">
        <x:v>Local idle runtime</x:v>
      </x:c>
      <x:c r="B14" s="30" t="str">
        <x:v>Backend 326.9 MiB; frontend 105.1 MiB; PostgreSQL 71.4 MiB; Redis 13.2 MiB; Nginx 13.5 MiB</x:v>
      </x:c>
      <x:c r="C14" s="30" t="str">
        <x:v>docker stats snapshot 2026-09-06</x:v>
      </x:c>
      <x:c r="D14" s="30" t="str">
        <x:v>High local only</x:v>
      </x:c>
      <x:c r="E14" s="30" t="str">
        <x:v>OBSERVED LOCALLY — NOT PRODUCTION</x:v>
      </x:c>
      <x:c r="F14" s="30" t="str">
        <x:v>Collect peak and p95 production samples; do not extrapolate idle snapshot</x:v>
      </x:c>
      <x:c r="G14" s="30" t="str">
        <x:v>DevOps</x:v>
      </x:c>
    </x:row>
    <x:row r="15">
      <x:c r="A15" s="30" t="str">
        <x:v>Local backup footprint</x:v>
      </x:c>
      <x:c r="B15" s="30" t="str">
        <x:v>155 files; 242,110,835 bytes; 144 full dumps and 11 branch backups</x:v>
      </x:c>
      <x:c r="C15" s="30" t="str">
        <x:v>Workspace filesystem measurement</x:v>
      </x:c>
      <x:c r="D15" s="30" t="str">
        <x:v>High local only</x:v>
      </x:c>
      <x:c r="E15" s="30" t="str">
        <x:v>OBSERVED LOCALLY — NOT CURRENT PRODUCTION</x:v>
      </x:c>
      <x:c r="F15" s="30" t="str">
        <x:v>Measure production backup count/bytes, destination, retention and restore success</x:v>
      </x:c>
      <x:c r="G15" s="30" t="str">
        <x:v>DevOps</x:v>
      </x:c>
    </x:row>
    <x:row r="16">
      <x:c r="A16" s="30" t="str">
        <x:v>WhatsApp delivered volume/rate</x:v>
      </x:c>
      <x:c r="B16" s="30" t="str">
        <x:v>Unknown</x:v>
      </x:c>
      <x:c r="C16" s="30" t="str">
        <x:v>No WABA invoice or Insights export</x:v>
      </x:c>
      <x:c r="D16" s="30" t="str">
        <x:v>None</x:v>
      </x:c>
      <x:c r="E16" s="30" t="str">
        <x:v>UNKNOWN — NEEDS INPUT</x:v>
      </x:c>
      <x:c r="F16" s="30" t="str">
        <x:v>Export 90 days by category/country/status and invoice amount</x:v>
      </x:c>
      <x:c r="G16" s="30" t="str">
        <x:v>Meta WABA admin</x:v>
      </x:c>
    </x:row>
    <x:row r="17">
      <x:c r="A17" s="30" t="str">
        <x:v>Voice minutes/rate</x:v>
      </x:c>
      <x:c r="B17" s="30" t="str">
        <x:v>Unknown</x:v>
      </x:c>
      <x:c r="C17" s="30" t="str">
        <x:v>No Plivo invoice/usage export</x:v>
      </x:c>
      <x:c r="D17" s="30" t="str">
        <x:v>None</x:v>
      </x:c>
      <x:c r="E17" s="30" t="str">
        <x:v>UNKNOWN — NEEDS INPUT</x:v>
      </x:c>
      <x:c r="F17" s="30" t="str">
        <x:v>Export 90 days of billed minutes, legs, retries, number rental and taxes</x:v>
      </x:c>
      <x:c r="G17" s="30" t="str">
        <x:v>Plivo billing admin</x:v>
      </x:c>
    </x:row>
    <x:row r="18">
      <x:c r="A18" s="30" t="str">
        <x:v>Peak API and WebSocket load</x:v>
      </x:c>
      <x:c r="B18" s="30" t="str">
        <x:v>Unknown</x:v>
      </x:c>
      <x:c r="C18" s="30" t="str">
        <x:v>No production APM/load-balancer history</x:v>
      </x:c>
      <x:c r="D18" s="30" t="str">
        <x:v>None</x:v>
      </x:c>
      <x:c r="E18" s="30" t="str">
        <x:v>UNKNOWN — NEEDS INPUT</x:v>
      </x:c>
      <x:c r="F18" s="30" t="str">
        <x:v>Collect RPS, p50/p95/p99 latency, errors, active sockets and bytes/event</x:v>
      </x:c>
      <x:c r="G18" s="30" t="str">
        <x:v>DevOps / Backend</x:v>
      </x:c>
    </x:row>
    <x:row r="19">
      <x:c r="A19" s="29"/>
      <x:c r="B19" s="29"/>
      <x:c r="C19" s="29"/>
      <x:c r="D19" s="29"/>
      <x:c r="E19" s="29"/>
      <x:c r="F19" s="29"/>
      <x:c r="G19" s="29"/>
    </x:row>
    <x:row r="20">
      <x:c r="A20" s="29"/>
      <x:c r="B20" s="29"/>
      <x:c r="C20" s="29"/>
      <x:c r="D20" s="29"/>
      <x:c r="E20" s="29"/>
      <x:c r="F20" s="29"/>
      <x:c r="G20" s="29"/>
    </x:row>
    <x:row r="21">
      <x:c r="A21" s="31" t="str">
        <x:v>Minimum evidence required before replacing provisional pricing</x:v>
      </x:c>
      <x:c r="B21" s="32" t="str">
        <x:v>Minimum evidence required before replacing provisional pricing</x:v>
      </x:c>
      <x:c r="C21" s="32" t="str">
        <x:v>Minimum evidence required before replacing provisional pricing</x:v>
      </x:c>
      <x:c r="D21" s="32" t="str">
        <x:v>Minimum evidence required before replacing provisional pricing</x:v>
      </x:c>
      <x:c r="E21" s="32" t="str">
        <x:v>Minimum evidence required before replacing provisional pricing</x:v>
      </x:c>
      <x:c r="F21" s="32" t="str">
        <x:v>Minimum evidence required before replacing provisional pricing</x:v>
      </x:c>
      <x:c r="G21" s="33" t="str">
        <x:v>Minimum evidence required before replacing provisional pricing</x:v>
      </x:c>
    </x:row>
    <x:row r="22">
      <x:c r="A22" s="21" t="str">
        <x:v>Evidence pack</x:v>
      </x:c>
      <x:c r="B22" s="21" t="str">
        <x:v>3 months host invoices</x:v>
      </x:c>
      <x:c r="C22" s="21" t="str">
        <x:v>30-day CPU/RAM/disk charts</x:v>
      </x:c>
      <x:c r="D22" s="21" t="str">
        <x:v>12-month token export</x:v>
      </x:c>
      <x:c r="E22" s="21" t="str">
        <x:v>90-day communication invoices</x:v>
      </x:c>
      <x:c r="F22" s="21" t="str">
        <x:v>Database/table sizes</x:v>
      </x:c>
      <x:c r="G22" s="21" t="str">
        <x:v>Peak-load test results</x:v>
      </x:c>
    </x:row>
    <x:row r="23">
      <x:c r="A23" s="30" t="str">
        <x:v>Required fields</x:v>
      </x:c>
      <x:c r="B23" s="30" t="str">
        <x:v>Amount, tax, plan, region</x:v>
      </x:c>
      <x:c r="C23" s="30" t="str">
        <x:v>average, p95, peak</x:v>
      </x:c>
      <x:c r="D23" s="30" t="str">
        <x:v>organisation, month, status</x:v>
      </x:c>
      <x:c r="E23" s="30" t="str">
        <x:v>category, delivered, failed, rate</x:v>
      </x:c>
      <x:c r="F23" s="30" t="str">
        <x:v>table, indexes, backups</x:v>
      </x:c>
      <x:c r="G23" s="30" t="str">
        <x:v>RPS, sockets, p95/p99, errors</x:v>
      </x:c>
    </x:row>
    <x:row r="24">
      <x:c r="A24" s="30" t="str">
        <x:v>Current state</x:v>
      </x:c>
      <x:c r="B24" s="30" t="str">
        <x:v>Missing</x:v>
      </x:c>
      <x:c r="C24" s="30" t="str">
        <x:v>Missing</x:v>
      </x:c>
      <x:c r="D24" s="30" t="str">
        <x:v>Missing</x:v>
      </x:c>
      <x:c r="E24" s="30" t="str">
        <x:v>Missing</x:v>
      </x:c>
      <x:c r="F24" s="30" t="str">
        <x:v>Missing</x:v>
      </x:c>
      <x:c r="G24" s="30" t="str">
        <x:v>Missing</x:v>
      </x:c>
    </x:row>
    <x:row r="25">
      <x:c r="A25" s="30" t="str">
        <x:v>Pricing decision</x:v>
      </x:c>
      <x:c r="B25" s="30" t="str">
        <x:v>Do not finalize fixed allocation</x:v>
      </x:c>
      <x:c r="C25" s="30" t="str">
        <x:v>Do not publish capacity</x:v>
      </x:c>
      <x:c r="D25" s="30" t="str">
        <x:v>Do not finalize token allowance</x:v>
      </x:c>
      <x:c r="E25" s="30" t="str">
        <x:v>Do not absorb messages</x:v>
      </x:c>
      <x:c r="F25" s="30" t="str">
        <x:v>Do not finalize retention cost</x:v>
      </x:c>
      <x:c r="G25" s="30" t="str">
        <x:v>Do not promise SLA</x:v>
      </x:c>
    </x:row>
    <x:row r="26">
      <x:c r="A26" s="30" t="str">
        <x:v>Next action</x:v>
      </x:c>
      <x:c r="B26" s="30" t="str">
        <x:v>Export billing CSV/PDF</x:v>
      </x:c>
      <x:c r="C26" s="30" t="str">
        <x:v>Export provider monitoring</x:v>
      </x:c>
      <x:c r="D26" s="30" t="str">
        <x:v>Run SQL in collection script</x:v>
      </x:c>
      <x:c r="E26" s="30" t="str">
        <x:v>Export Meta/Plivo CSV</x:v>
      </x:c>
      <x:c r="F26" s="30" t="str">
        <x:v>Run SQL/disk commands</x:v>
      </x:c>
      <x:c r="G26" s="30" t="str">
        <x:v>Run staged production-like test</x:v>
      </x:c>
    </x:row>
    <x:row r="27">
      <x:c r="A27" s="29"/>
      <x:c r="B27" s="29"/>
      <x:c r="C27" s="29"/>
      <x:c r="D27" s="29"/>
      <x:c r="E27" s="29"/>
      <x:c r="F27" s="29"/>
      <x:c r="G27" s="29"/>
    </x:row>
    <x:row r="28">
      <x:c r="A28" s="29"/>
      <x:c r="B28" s="29"/>
      <x:c r="C28" s="29"/>
      <x:c r="D28" s="29"/>
      <x:c r="E28" s="29"/>
      <x:c r="F28" s="29"/>
      <x:c r="G28" s="29"/>
    </x:row>
  </x:sheetData>
  <x:mergeCells>
    <x:mergeCell ref="A21:G21"/>
  </x:mergeCells>
  <x:conditionalFormatting sqref="E6:E18">
    <x:cfRule type="containsText" dxfId="0" priority="1" operator="containsText" text="UNKNOWN"/>
    <x:cfRule type="containsText" dxfId="1" priority="2" operator="containsText" text="OBSERV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30" hidden="0" customWidth="1"/>
    <x:col min="5" max="5" width="4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69" t="str">
        <x:v>Q4Queue cost and pricing assumptions</x:v>
      </x:c>
      <x:c r="B1" s="70"/>
      <x:c r="C1" s="70"/>
      <x:c r="D1" s="70"/>
      <x:c r="E1" s="70"/>
      <x:c r="F1" s="70"/>
      <x:c r="G1" s="71"/>
      <x:c r="H1" s="71"/>
      <x:c r="I1" s="71"/>
      <x:c r="J1" s="71"/>
    </x:row>
    <x:row r="2">
      <x:c r="A2" s="72" t="str">
        <x:v>Blue values are editable. Labels state whether each input is verified, estimated, assumed, or unknown.</x:v>
      </x:c>
      <x:c r="B2" s="72"/>
      <x:c r="C2" s="72"/>
      <x:c r="D2" s="72"/>
      <x:c r="E2" s="72"/>
      <x:c r="F2" s="72"/>
      <x:c r="G2" s="71"/>
      <x:c r="H2" s="71"/>
      <x:c r="I2" s="71"/>
      <x:c r="J2" s="71"/>
    </x:row>
    <x:row r="3">
      <x:c r="A3" s="71"/>
      <x:c r="B3" s="71"/>
      <x:c r="C3" s="71"/>
      <x:c r="D3" s="71"/>
      <x:c r="E3" s="71"/>
      <x:c r="F3" s="71"/>
      <x:c r="G3" s="71"/>
      <x:c r="H3" s="71"/>
      <x:c r="I3" s="71"/>
      <x:c r="J3" s="71"/>
    </x:row>
    <x:row r="4">
      <x:c r="A4" s="71"/>
      <x:c r="B4" s="71"/>
      <x:c r="C4" s="71"/>
      <x:c r="D4" s="71"/>
      <x:c r="E4" s="71"/>
      <x:c r="F4" s="71"/>
      <x:c r="G4" s="71"/>
      <x:c r="H4" s="71"/>
      <x:c r="I4" s="71"/>
      <x:c r="J4" s="71"/>
    </x:row>
    <x:row r="5">
      <x:c r="A5" s="73" t="str">
        <x:v>Core cost drivers</x:v>
      </x:c>
      <x:c r="B5" s="74" t="str">
        <x:v>Core cost drivers</x:v>
      </x:c>
      <x:c r="C5" s="74" t="str">
        <x:v>Core cost drivers</x:v>
      </x:c>
      <x:c r="D5" s="74" t="str">
        <x:v>Core cost drivers</x:v>
      </x:c>
      <x:c r="E5" s="74" t="str">
        <x:v>Core cost drivers</x:v>
      </x:c>
      <x:c r="F5" s="75" t="str">
        <x:v>Core cost drivers</x:v>
      </x:c>
      <x:c r="G5" s="71"/>
      <x:c r="H5" s="71"/>
      <x:c r="I5" s="71"/>
      <x:c r="J5" s="71"/>
    </x:row>
    <x:row r="6">
      <x:c r="A6" s="21" t="str">
        <x:v>Input</x:v>
      </x:c>
      <x:c r="B6" s="21" t="str">
        <x:v>Value</x:v>
      </x:c>
      <x:c r="C6" s="21" t="str">
        <x:v>Unit</x:v>
      </x:c>
      <x:c r="D6" s="21" t="str">
        <x:v>Evidence label</x:v>
      </x:c>
      <x:c r="E6" s="21" t="str">
        <x:v>Basis</x:v>
      </x:c>
      <x:c r="F6" s="21" t="str">
        <x:v>Source ID</x:v>
      </x:c>
      <x:c r="G6" s="71"/>
      <x:c r="H6" s="71"/>
      <x:c r="I6" s="71"/>
      <x:c r="J6" s="71"/>
    </x:row>
    <x:row r="7">
      <x:c r="A7" s="71" t="str">
        <x:v>USD to INR</x:v>
      </x:c>
      <x:c r="B7" s="76" t="n">
        <x:v>95</x:v>
      </x:c>
      <x:c r="C7" s="71" t="str">
        <x:v>₹ / USD</x:v>
      </x:c>
      <x:c r="D7" s="71" t="str">
        <x:v>PROVISIONAL — ASSUMPTION</x:v>
      </x:c>
      <x:c r="E7" s="71" t="str">
        <x:v>Rounded planning rate; update monthly</x:v>
      </x:c>
      <x:c r="F7" s="71" t="str">
        <x:v>S8</x:v>
      </x:c>
      <x:c r="G7" s="71"/>
      <x:c r="H7" s="71"/>
      <x:c r="I7" s="71"/>
      <x:c r="J7" s="71"/>
    </x:row>
    <x:row r="8">
      <x:c r="A8" s="71" t="str">
        <x:v>Base server</x:v>
      </x:c>
      <x:c r="B8" s="77" t="n">
        <x:v>4560</x:v>
      </x:c>
      <x:c r="C8" s="71" t="str">
        <x:v>₹ / month</x:v>
      </x:c>
      <x:c r="D8" s="71" t="str">
        <x:v>PROVISIONAL — BENCHMARK</x:v>
      </x:c>
      <x:c r="E8" s="71" t="str">
        <x:v>$48 benchmark × ₹95; not actual invoice</x:v>
      </x:c>
      <x:c r="F8" s="71" t="str">
        <x:v>S4</x:v>
      </x:c>
      <x:c r="G8" s="71"/>
      <x:c r="H8" s="71"/>
      <x:c r="I8" s="71"/>
      <x:c r="J8" s="71"/>
    </x:row>
    <x:row r="9">
      <x:c r="A9" s="71" t="str">
        <x:v>Email account</x:v>
      </x:c>
      <x:c r="B9" s="77" t="n">
        <x:v>650</x:v>
      </x:c>
      <x:c r="C9" s="71" t="str">
        <x:v>₹ / month</x:v>
      </x:c>
      <x:c r="D9" s="71" t="str">
        <x:v>VERIFIED FROM PROVIDER PRICING</x:v>
      </x:c>
      <x:c r="E9" s="71" t="str">
        <x:v>Google Workspace flexible list rate</x:v>
      </x:c>
      <x:c r="F9" s="71" t="str">
        <x:v>S6</x:v>
      </x:c>
      <x:c r="G9" s="71"/>
      <x:c r="H9" s="71"/>
      <x:c r="I9" s="71"/>
      <x:c r="J9" s="71"/>
    </x:row>
    <x:row r="10">
      <x:c r="A10" s="71" t="str">
        <x:v>Domain allocation</x:v>
      </x:c>
      <x:c r="B10" s="77" t="n">
        <x:v>100</x:v>
      </x:c>
      <x:c r="C10" s="71" t="str">
        <x:v>₹ / month</x:v>
      </x:c>
      <x:c r="D10" s="71" t="str">
        <x:v>PROVISIONAL — ASSUMPTION</x:v>
      </x:c>
      <x:c r="E10" s="71" t="str">
        <x:v>Annual domain/12; registrar unknown</x:v>
      </x:c>
      <x:c r="F10" s="71" t="str"/>
      <x:c r="G10" s="71"/>
      <x:c r="H10" s="71"/>
      <x:c r="I10" s="71"/>
      <x:c r="J10" s="71"/>
    </x:row>
    <x:row r="11">
      <x:c r="A11" s="71" t="str">
        <x:v>Off-site backup allowance</x:v>
      </x:c>
      <x:c r="B11" s="77" t="n">
        <x:v>300</x:v>
      </x:c>
      <x:c r="C11" s="71" t="str">
        <x:v>₹ / month</x:v>
      </x:c>
      <x:c r="D11" s="71" t="str">
        <x:v>PROVISIONAL — ASSUMPTION</x:v>
      </x:c>
      <x:c r="E11" s="71" t="str">
        <x:v>Not implemented in current compose</x:v>
      </x:c>
      <x:c r="F11" s="71" t="str">
        <x:v>S7</x:v>
      </x:c>
      <x:c r="G11" s="71"/>
      <x:c r="H11" s="71"/>
      <x:c r="I11" s="71"/>
      <x:c r="J11" s="71"/>
    </x:row>
    <x:row r="12">
      <x:c r="A12" s="71" t="str">
        <x:v>Meta utility message</x:v>
      </x:c>
      <x:c r="B12" s="78" t="n">
        <x:v>0.115</x:v>
      </x:c>
      <x:c r="C12" s="71" t="str">
        <x:v>₹ / delivered message</x:v>
      </x:c>
      <x:c r="D12" s="71" t="str">
        <x:v>PROVISIONAL — ESTIMATED</x:v>
      </x:c>
      <x:c r="E12" s="71" t="str">
        <x:v>Planning rate; verify current WABA India rate card</x:v>
      </x:c>
      <x:c r="F12" s="71" t="str">
        <x:v>S1</x:v>
      </x:c>
      <x:c r="G12" s="71"/>
      <x:c r="H12" s="71"/>
      <x:c r="I12" s="71"/>
      <x:c r="J12" s="71"/>
    </x:row>
    <x:row r="13">
      <x:c r="A13" s="71" t="str">
        <x:v>Payment processing</x:v>
      </x:c>
      <x:c r="B13" s="79" t="n">
        <x:v>0.0236</x:v>
      </x:c>
      <x:c r="C13" s="71" t="str">
        <x:v>% revenue</x:v>
      </x:c>
      <x:c r="D13" s="71" t="str">
        <x:v>VERIFIED FROM PROVIDER PRICING</x:v>
      </x:c>
      <x:c r="E13" s="71" t="str">
        <x:v>2% fee plus 18% GST on fee</x:v>
      </x:c>
      <x:c r="F13" s="71" t="str">
        <x:v>S5</x:v>
      </x:c>
      <x:c r="G13" s="71"/>
      <x:c r="H13" s="71"/>
      <x:c r="I13" s="71"/>
      <x:c r="J13" s="71"/>
    </x:row>
    <x:row r="14">
      <x:c r="A14" s="71" t="str">
        <x:v>Support/operations allowance</x:v>
      </x:c>
      <x:c r="B14" s="79" t="n">
        <x:v>0.08</x:v>
      </x:c>
      <x:c r="C14" s="71" t="str">
        <x:v>% revenue</x:v>
      </x:c>
      <x:c r="D14" s="71" t="str">
        <x:v>PROVISIONAL — ASSUMPTION</x:v>
      </x:c>
      <x:c r="E14" s="71" t="str">
        <x:v>COGS planning allowance</x:v>
      </x:c>
      <x:c r="F14" s="71" t="str"/>
      <x:c r="G14" s="71"/>
      <x:c r="H14" s="71"/>
      <x:c r="I14" s="71"/>
      <x:c r="J14" s="71"/>
    </x:row>
    <x:row r="15">
      <x:c r="A15" s="71" t="str">
        <x:v>Variable infra per 1,000 tokens</x:v>
      </x:c>
      <x:c r="B15" s="77" t="n">
        <x:v>7</x:v>
      </x:c>
      <x:c r="C15" s="71" t="str">
        <x:v>₹</x:v>
      </x:c>
      <x:c r="D15" s="71" t="str">
        <x:v>PROVISIONAL — ESTIMATED</x:v>
      </x:c>
      <x:c r="E15" s="71" t="str">
        <x:v>Compute, DB work and bandwidth within included transfer</x:v>
      </x:c>
      <x:c r="F15" s="71" t="str"/>
      <x:c r="G15" s="71"/>
      <x:c r="H15" s="71"/>
      <x:c r="I15" s="71"/>
      <x:c r="J15" s="71"/>
    </x:row>
    <x:row r="16">
      <x:c r="A16" s="71" t="str">
        <x:v>Live DB footprint per token</x:v>
      </x:c>
      <x:c r="B16" s="76" t="n">
        <x:v>10</x:v>
      </x:c>
      <x:c r="C16" s="71" t="str">
        <x:v>KB</x:v>
      </x:c>
      <x:c r="D16" s="71" t="str">
        <x:v>PROVISIONAL — ESTIMATED</x:v>
      </x:c>
      <x:c r="E16" s="71" t="str">
        <x:v>Token, audit, WhatsApp message and webhook rows/indexes</x:v>
      </x:c>
      <x:c r="F16" s="71" t="str"/>
      <x:c r="G16" s="71"/>
      <x:c r="H16" s="71"/>
      <x:c r="I16" s="71"/>
      <x:c r="J16" s="71"/>
    </x:row>
    <x:row r="17">
      <x:c r="A17" s="71" t="str">
        <x:v>Backup multiplier</x:v>
      </x:c>
      <x:c r="B17" s="76" t="n">
        <x:v>2.5</x:v>
      </x:c>
      <x:c r="C17" s="71" t="str">
        <x:v>x live DB</x:v>
      </x:c>
      <x:c r="D17" s="71" t="str">
        <x:v>PROVISIONAL — ASSUMPTION</x:v>
      </x:c>
      <x:c r="E17" s="71" t="str">
        <x:v>Compressed rolling logical dumps</x:v>
      </x:c>
      <x:c r="F17" s="71" t="str"/>
      <x:c r="G17" s="71"/>
      <x:c r="H17" s="71"/>
      <x:c r="I17" s="71"/>
      <x:c r="J17" s="71"/>
    </x:row>
    <x:row r="18">
      <x:c r="A18" s="71" t="str">
        <x:v>API requests per token lifecycle</x:v>
      </x:c>
      <x:c r="B18" s="76" t="n">
        <x:v>5</x:v>
      </x:c>
      <x:c r="C18" s="71" t="str">
        <x:v>requests</x:v>
      </x:c>
      <x:c r="D18" s="71" t="str">
        <x:v>PROVISIONAL — ESTIMATED</x:v>
      </x:c>
      <x:c r="E18" s="71" t="str">
        <x:v>Join, tracking, staff action and allocated dashboard traffic</x:v>
      </x:c>
      <x:c r="F18" s="71" t="str"/>
      <x:c r="G18" s="71"/>
      <x:c r="H18" s="71"/>
      <x:c r="I18" s="71"/>
      <x:c r="J18" s="71"/>
    </x:row>
    <x:row r="19">
      <x:c r="A19" s="71" t="str">
        <x:v>Bandwidth per token lifecycle</x:v>
      </x:c>
      <x:c r="B19" s="76" t="n">
        <x:v>1</x:v>
      </x:c>
      <x:c r="C19" s="71" t="str">
        <x:v>MB</x:v>
      </x:c>
      <x:c r="D19" s="71" t="str">
        <x:v>PROVISIONAL — ESTIMATED</x:v>
      </x:c>
      <x:c r="E19" s="71" t="str">
        <x:v>Snapshot fanout and page/API allocation</x:v>
      </x:c>
      <x:c r="F19" s="71" t="str"/>
      <x:c r="G19" s="71"/>
      <x:c r="H19" s="71"/>
      <x:c r="I19" s="71"/>
      <x:c r="J19" s="71"/>
    </x:row>
    <x:row r="20">
      <x:c r="A20" s="71" t="str">
        <x:v>WhatsApp messages per token</x:v>
      </x:c>
      <x:c r="B20" s="76" t="n">
        <x:v>1.6</x:v>
      </x:c>
      <x:c r="C20" s="71" t="str">
        <x:v>messages</x:v>
      </x:c>
      <x:c r="D20" s="71" t="str">
        <x:v>PROVISIONAL — ASSUMPTION</x:v>
      </x:c>
      <x:c r="E20" s="71" t="str">
        <x:v>60% join opt-in plus later alerts for active responders</x:v>
      </x:c>
      <x:c r="F20" s="71" t="str"/>
      <x:c r="G20" s="71"/>
      <x:c r="H20" s="71"/>
      <x:c r="I20" s="71"/>
      <x:c r="J20" s="71"/>
    </x:row>
    <x:row r="21">
      <x:c r="A21" s="71" t="str">
        <x:v>Target gross margin</x:v>
      </x:c>
      <x:c r="B21" s="79" t="n">
        <x:v>0.8</x:v>
      </x:c>
      <x:c r="C21" s="71" t="str">
        <x:v>%</x:v>
      </x:c>
      <x:c r="D21" s="71" t="str">
        <x:v>PROVISIONAL — ASSUMPTION</x:v>
      </x:c>
      <x:c r="E21" s="71" t="str">
        <x:v>SaaS planning target</x:v>
      </x:c>
      <x:c r="F21" s="71" t="str"/>
      <x:c r="G21" s="71"/>
      <x:c r="H21" s="71"/>
      <x:c r="I21" s="71"/>
      <x:c r="J21" s="71"/>
    </x:row>
    <x:row r="22">
      <x:c r="A22" s="71" t="str">
        <x:v>Base-cost allocation customers</x:v>
      </x:c>
      <x:c r="B22" s="80" t="n">
        <x:v>100</x:v>
      </x:c>
      <x:c r="C22" s="71" t="str">
        <x:v>organisations</x:v>
      </x:c>
      <x:c r="D22" s="71" t="str">
        <x:v>PROVISIONAL — ASSUMPTION</x:v>
      </x:c>
      <x:c r="E22" s="71" t="str">
        <x:v>Normalised unit economics denominator</x:v>
      </x:c>
      <x:c r="F22" s="71" t="str"/>
      <x:c r="G22" s="71"/>
      <x:c r="H22" s="71"/>
      <x:c r="I22" s="71"/>
      <x:c r="J22" s="71"/>
    </x:row>
    <x:row r="23">
      <x:c r="A23" s="71"/>
      <x:c r="B23" s="71"/>
      <x:c r="C23" s="71"/>
      <x:c r="D23" s="71"/>
      <x:c r="E23" s="71"/>
      <x:c r="F23" s="71"/>
      <x:c r="G23" s="71"/>
      <x:c r="H23" s="71"/>
      <x:c r="I23" s="71"/>
      <x:c r="J23" s="71"/>
    </x:row>
    <x:row r="24">
      <x:c r="A24" s="71"/>
      <x:c r="B24" s="71"/>
      <x:c r="C24" s="71"/>
      <x:c r="D24" s="71"/>
      <x:c r="E24" s="71"/>
      <x:c r="F24" s="71"/>
      <x:c r="G24" s="71"/>
      <x:c r="H24" s="71"/>
      <x:c r="I24" s="71"/>
      <x:c r="J24" s="71"/>
    </x:row>
    <x:row r="25">
      <x:c r="A25" s="71"/>
      <x:c r="B25" s="71"/>
      <x:c r="C25" s="71"/>
      <x:c r="D25" s="71"/>
      <x:c r="E25" s="71"/>
      <x:c r="F25" s="71"/>
      <x:c r="G25" s="71"/>
      <x:c r="H25" s="71"/>
      <x:c r="I25" s="71"/>
      <x:c r="J25" s="71"/>
    </x:row>
    <x:row r="26">
      <x:c r="A26" s="73" t="str">
        <x:v>Plan design and average utilisation</x:v>
      </x:c>
      <x:c r="B26" s="74" t="str">
        <x:v>Plan design and average utilisation</x:v>
      </x:c>
      <x:c r="C26" s="74" t="str">
        <x:v>Plan design and average utilisation</x:v>
      </x:c>
      <x:c r="D26" s="74" t="str">
        <x:v>Plan design and average utilisation</x:v>
      </x:c>
      <x:c r="E26" s="74" t="str">
        <x:v>Plan design and average utilisation</x:v>
      </x:c>
      <x:c r="F26" s="74" t="str">
        <x:v>Plan design and average utilisation</x:v>
      </x:c>
      <x:c r="G26" s="74" t="str">
        <x:v>Plan design and average utilisation</x:v>
      </x:c>
      <x:c r="H26" s="74" t="str">
        <x:v>Plan design and average utilisation</x:v>
      </x:c>
      <x:c r="I26" s="74" t="str">
        <x:v>Plan design and average utilisation</x:v>
      </x:c>
      <x:c r="J26" s="75" t="str">
        <x:v>Plan design and average utilisation</x:v>
      </x:c>
    </x:row>
    <x:row r="27">
      <x:c r="A27" s="21" t="str">
        <x:v>Plan</x:v>
      </x:c>
      <x:c r="B27" s="21" t="str">
        <x:v>Price / month</x:v>
      </x:c>
      <x:c r="C27" s="21" t="str">
        <x:v>Token cap</x:v>
      </x:c>
      <x:c r="D27" s="21" t="str">
        <x:v>Average tokens</x:v>
      </x:c>
      <x:c r="E27" s="21" t="str">
        <x:v>Queues</x:v>
      </x:c>
      <x:c r="F27" s="21" t="str">
        <x:v>Branches</x:v>
      </x:c>
      <x:c r="G27" s="21" t="str">
        <x:v>Staff</x:v>
      </x:c>
      <x:c r="H27" s="21" t="str">
        <x:v>Sessions / month</x:v>
      </x:c>
      <x:c r="I27" s="21" t="str">
        <x:v>Included WhatsApp</x:v>
      </x:c>
      <x:c r="J27" s="21" t="str">
        <x:v>Evidence label</x:v>
      </x:c>
    </x:row>
    <x:row r="28">
      <x:c r="A28" s="71" t="str">
        <x:v>Starter</x:v>
      </x:c>
      <x:c r="B28" s="77" t="n">
        <x:v>999</x:v>
      </x:c>
      <x:c r="C28" s="80" t="n">
        <x:v>1000</x:v>
      </x:c>
      <x:c r="D28" s="80" t="n">
        <x:v>600</x:v>
      </x:c>
      <x:c r="E28" s="80" t="n">
        <x:v>3</x:v>
      </x:c>
      <x:c r="F28" s="80" t="n">
        <x:v>1</x:v>
      </x:c>
      <x:c r="G28" s="80" t="n">
        <x:v>3</x:v>
      </x:c>
      <x:c r="H28" s="80" t="n">
        <x:v>40</x:v>
      </x:c>
      <x:c r="I28" s="80" t="n">
        <x:v>100</x:v>
      </x:c>
      <x:c r="J28" s="71" t="str">
        <x:v>PROVISIONAL — RECOMMENDED</x:v>
      </x:c>
    </x:row>
    <x:row r="29">
      <x:c r="A29" s="71" t="str">
        <x:v>Growth</x:v>
      </x:c>
      <x:c r="B29" s="77" t="n">
        <x:v>2499</x:v>
      </x:c>
      <x:c r="C29" s="80" t="n">
        <x:v>5000</x:v>
      </x:c>
      <x:c r="D29" s="80" t="n">
        <x:v>3000</x:v>
      </x:c>
      <x:c r="E29" s="80" t="n">
        <x:v>10</x:v>
      </x:c>
      <x:c r="F29" s="80" t="n">
        <x:v>3</x:v>
      </x:c>
      <x:c r="G29" s="80" t="n">
        <x:v>10</x:v>
      </x:c>
      <x:c r="H29" s="80" t="n">
        <x:v>120</x:v>
      </x:c>
      <x:c r="I29" s="80" t="n">
        <x:v>300</x:v>
      </x:c>
      <x:c r="J29" s="71" t="str">
        <x:v>PROVISIONAL — RECOMMENDED</x:v>
      </x:c>
    </x:row>
    <x:row r="30">
      <x:c r="A30" s="71" t="str">
        <x:v>Business</x:v>
      </x:c>
      <x:c r="B30" s="77" t="n">
        <x:v>6999</x:v>
      </x:c>
      <x:c r="C30" s="80" t="n">
        <x:v>20000</x:v>
      </x:c>
      <x:c r="D30" s="80" t="n">
        <x:v>12000</x:v>
      </x:c>
      <x:c r="E30" s="80" t="n">
        <x:v>30</x:v>
      </x:c>
      <x:c r="F30" s="80" t="n">
        <x:v>10</x:v>
      </x:c>
      <x:c r="G30" s="80" t="n">
        <x:v>30</x:v>
      </x:c>
      <x:c r="H30" s="80" t="n">
        <x:v>400</x:v>
      </x:c>
      <x:c r="I30" s="80" t="n">
        <x:v>1000</x:v>
      </x:c>
      <x:c r="J30" s="71" t="str">
        <x:v>PROVISIONAL — RECOMMENDED</x:v>
      </x:c>
    </x:row>
    <x:row r="31">
      <x:c r="A31" s="71" t="str">
        <x:v>Enterprise</x:v>
      </x:c>
      <x:c r="B31" s="77" t="n">
        <x:v>50000</x:v>
      </x:c>
      <x:c r="C31" s="80" t="n">
        <x:v>100000</x:v>
      </x:c>
      <x:c r="D31" s="80" t="n">
        <x:v>60000</x:v>
      </x:c>
      <x:c r="E31" s="80" t="n">
        <x:v>100</x:v>
      </x:c>
      <x:c r="F31" s="80" t="n">
        <x:v>25</x:v>
      </x:c>
      <x:c r="G31" s="80" t="n">
        <x:v>100</x:v>
      </x:c>
      <x:c r="H31" s="80" t="n">
        <x:v>1200</x:v>
      </x:c>
      <x:c r="I31" s="80" t="n">
        <x:v>5000</x:v>
      </x:c>
      <x:c r="J31" s="71" t="str">
        <x:v>PROVISIONAL — ESTIMATED</x:v>
      </x:c>
    </x:row>
    <x:row r="32">
      <x:c r="A32" s="71"/>
      <x:c r="B32" s="71"/>
      <x:c r="C32" s="71"/>
      <x:c r="D32" s="71"/>
      <x:c r="E32" s="71"/>
      <x:c r="F32" s="71"/>
      <x:c r="G32" s="71"/>
      <x:c r="H32" s="71"/>
      <x:c r="I32" s="71"/>
      <x:c r="J32" s="71"/>
    </x:row>
    <x:row r="33">
      <x:c r="A33" s="71"/>
      <x:c r="B33" s="71"/>
      <x:c r="C33" s="71"/>
      <x:c r="D33" s="71"/>
      <x:c r="E33" s="71"/>
      <x:c r="F33" s="71"/>
      <x:c r="G33" s="71"/>
      <x:c r="H33" s="71"/>
      <x:c r="I33" s="71"/>
      <x:c r="J33" s="71"/>
    </x:row>
    <x:row r="34">
      <x:c r="A34" s="73" t="str">
        <x:v>Scale simulator plan mix</x:v>
      </x:c>
      <x:c r="B34" s="74" t="str">
        <x:v>Scale simulator plan mix</x:v>
      </x:c>
      <x:c r="C34" s="74" t="str">
        <x:v>Scale simulator plan mix</x:v>
      </x:c>
      <x:c r="D34" s="74" t="str">
        <x:v>Scale simulator plan mix</x:v>
      </x:c>
      <x:c r="E34" s="74" t="str">
        <x:v>Scale simulator plan mix</x:v>
      </x:c>
      <x:c r="F34" s="75" t="str">
        <x:v>Scale simulator plan mix</x:v>
      </x:c>
      <x:c r="G34" s="71"/>
      <x:c r="H34" s="71"/>
      <x:c r="I34" s="71"/>
      <x:c r="J34" s="71"/>
    </x:row>
    <x:row r="35">
      <x:c r="A35" s="21" t="str">
        <x:v>Plan</x:v>
      </x:c>
      <x:c r="B35" s="21" t="str">
        <x:v>Mix</x:v>
      </x:c>
      <x:c r="C35" s="21" t="str">
        <x:v>Average monthly tokens</x:v>
      </x:c>
      <x:c r="D35" s="21" t="str">
        <x:v>Included WhatsApp</x:v>
      </x:c>
      <x:c r="E35" s="21" t="str">
        <x:v>Price</x:v>
      </x:c>
      <x:c r="F35" s="21" t="str">
        <x:v>Check</x:v>
      </x:c>
      <x:c r="G35" s="71"/>
      <x:c r="H35" s="71"/>
      <x:c r="I35" s="71"/>
      <x:c r="J35" s="71"/>
    </x:row>
    <x:row r="36">
      <x:c r="A36" s="71" t="str">
        <x:v>Starter</x:v>
      </x:c>
      <x:c r="B36" s="79" t="n">
        <x:v>0.6</x:v>
      </x:c>
      <x:c r="C36" s="81" t="n">
        <x:f>D28</x:f>
        <x:v>600</x:v>
      </x:c>
      <x:c r="D36" s="81" t="n">
        <x:f>I28</x:f>
        <x:v>100</x:v>
      </x:c>
      <x:c r="E36" s="82" t="n">
        <x:f>B28</x:f>
        <x:v>999</x:v>
      </x:c>
      <x:c r="F36" s="71" t="str">
        <x:f>IF(B36&gt;=0,"OK","Invalid")</x:f>
        <x:v>OK</x:v>
      </x:c>
      <x:c r="G36" s="71"/>
      <x:c r="H36" s="71"/>
      <x:c r="I36" s="71"/>
      <x:c r="J36" s="71"/>
    </x:row>
    <x:row r="37">
      <x:c r="A37" s="71" t="str">
        <x:v>Growth</x:v>
      </x:c>
      <x:c r="B37" s="79" t="n">
        <x:v>0.3</x:v>
      </x:c>
      <x:c r="C37" s="81" t="n">
        <x:f>D29</x:f>
        <x:v>3000</x:v>
      </x:c>
      <x:c r="D37" s="81" t="n">
        <x:f>I29</x:f>
        <x:v>300</x:v>
      </x:c>
      <x:c r="E37" s="82" t="n">
        <x:f>B29</x:f>
        <x:v>2499</x:v>
      </x:c>
      <x:c r="F37" s="71" t="str">
        <x:f>IF(B37&gt;=0,"OK","Invalid")</x:f>
        <x:v>OK</x:v>
      </x:c>
      <x:c r="G37" s="71"/>
      <x:c r="H37" s="71"/>
      <x:c r="I37" s="71"/>
      <x:c r="J37" s="71"/>
    </x:row>
    <x:row r="38">
      <x:c r="A38" s="71" t="str">
        <x:v>Business</x:v>
      </x:c>
      <x:c r="B38" s="79" t="n">
        <x:v>0.09</x:v>
      </x:c>
      <x:c r="C38" s="81" t="n">
        <x:f>D30</x:f>
        <x:v>12000</x:v>
      </x:c>
      <x:c r="D38" s="81" t="n">
        <x:f>I30</x:f>
        <x:v>1000</x:v>
      </x:c>
      <x:c r="E38" s="82" t="n">
        <x:f>B30</x:f>
        <x:v>6999</x:v>
      </x:c>
      <x:c r="F38" s="71" t="str">
        <x:f>IF(B38&gt;=0,"OK","Invalid")</x:f>
        <x:v>OK</x:v>
      </x:c>
      <x:c r="G38" s="71"/>
      <x:c r="H38" s="71"/>
      <x:c r="I38" s="71"/>
      <x:c r="J38" s="71"/>
    </x:row>
    <x:row r="39">
      <x:c r="A39" s="71" t="str">
        <x:v>Enterprise</x:v>
      </x:c>
      <x:c r="B39" s="79" t="n">
        <x:v>0.01</x:v>
      </x:c>
      <x:c r="C39" s="81" t="n">
        <x:f>D31</x:f>
        <x:v>60000</x:v>
      </x:c>
      <x:c r="D39" s="81" t="n">
        <x:f>I31</x:f>
        <x:v>5000</x:v>
      </x:c>
      <x:c r="E39" s="82" t="n">
        <x:f>B31</x:f>
        <x:v>50000</x:v>
      </x:c>
      <x:c r="F39" s="71" t="str">
        <x:f>IF(B39&gt;=0,"OK","Invalid")</x:f>
        <x:v>OK</x:v>
      </x:c>
      <x:c r="G39" s="71"/>
      <x:c r="H39" s="71"/>
      <x:c r="I39" s="71"/>
      <x:c r="J39" s="71"/>
    </x:row>
    <x:row r="40">
      <x:c r="A40" s="83" t="str">
        <x:v>Total / weighted average</x:v>
      </x:c>
      <x:c r="B40" s="84" t="n">
        <x:f>SUM(B36:B39)</x:f>
        <x:v>0.9999999999999999</x:v>
      </x:c>
      <x:c r="C40" s="85" t="n">
        <x:f>SUMPRODUCT(B36:B39,C36:C39)</x:f>
        <x:v>2940</x:v>
      </x:c>
      <x:c r="D40" s="85" t="n">
        <x:f>SUMPRODUCT(B36:B39,D36:D39)</x:f>
        <x:v>290</x:v>
      </x:c>
      <x:c r="E40" s="86" t="n">
        <x:f>SUMPRODUCT(B36:B39,E36:E39)</x:f>
        <x:v>2479.0099999999998</x:v>
      </x:c>
      <x:c r="F40" s="83" t="str">
        <x:f>IF(ABS(B40-1)&lt;0.0001,"PASS","Mix must equal 100%")</x:f>
        <x:v>PASS</x:v>
      </x:c>
      <x:c r="G40" s="71"/>
      <x:c r="H40" s="71"/>
      <x:c r="I40" s="71"/>
      <x:c r="J40" s="71"/>
    </x:row>
    <x:row r="41">
      <x:c r="A41" s="71"/>
      <x:c r="B41" s="71"/>
      <x:c r="C41" s="71"/>
      <x:c r="D41" s="71"/>
      <x:c r="E41" s="71"/>
      <x:c r="F41" s="71"/>
      <x:c r="G41" s="71"/>
      <x:c r="H41" s="71"/>
      <x:c r="I41" s="71"/>
      <x:c r="J41" s="71"/>
    </x:row>
    <x:row r="42">
      <x:c r="A42" s="71"/>
      <x:c r="B42" s="71"/>
      <x:c r="C42" s="71"/>
      <x:c r="D42" s="71"/>
      <x:c r="E42" s="71"/>
      <x:c r="F42" s="71"/>
      <x:c r="G42" s="71"/>
      <x:c r="H42" s="71"/>
      <x:c r="I42" s="71"/>
      <x:c r="J42" s="71"/>
    </x:row>
    <x:row r="43">
      <x:c r="A43" s="73" t="str">
        <x:v>Infrastructure step-cost assumptions</x:v>
      </x:c>
      <x:c r="B43" s="74" t="str">
        <x:v>Infrastructure step-cost assumptions</x:v>
      </x:c>
      <x:c r="C43" s="74" t="str">
        <x:v>Infrastructure step-cost assumptions</x:v>
      </x:c>
      <x:c r="D43" s="75" t="str">
        <x:v>Infrastructure step-cost assumptions</x:v>
      </x:c>
      <x:c r="E43" s="71"/>
      <x:c r="F43" s="71"/>
      <x:c r="G43" s="71"/>
      <x:c r="H43" s="71"/>
      <x:c r="I43" s="71"/>
      <x:c r="J43" s="71"/>
    </x:row>
    <x:row r="44">
      <x:c r="A44" s="21" t="str">
        <x:v>Organisations up to</x:v>
      </x:c>
      <x:c r="B44" s="21" t="str">
        <x:v>Monthly infra cost</x:v>
      </x:c>
      <x:c r="C44" s="21" t="str">
        <x:v>Architecture</x:v>
      </x:c>
      <x:c r="D44" s="21" t="str">
        <x:v>Evidence label</x:v>
      </x:c>
      <x:c r="E44" s="71"/>
      <x:c r="F44" s="71"/>
      <x:c r="G44" s="71"/>
      <x:c r="H44" s="71"/>
      <x:c r="I44" s="71"/>
      <x:c r="J44" s="71"/>
    </x:row>
    <x:row r="45">
      <x:c r="A45" s="71" t="n">
        <x:v>10</x:v>
      </x:c>
      <x:c r="B45" s="77" t="n">
        <x:v>4560</x:v>
      </x:c>
      <x:c r="C45" s="71" t="str">
        <x:v>Current single-host benchmark</x:v>
      </x:c>
      <x:c r="D45" s="71" t="str">
        <x:v>PROVISIONAL — ESTIMATED</x:v>
      </x:c>
      <x:c r="E45" s="71"/>
      <x:c r="F45" s="71"/>
      <x:c r="G45" s="71"/>
      <x:c r="H45" s="71"/>
      <x:c r="I45" s="71"/>
      <x:c r="J45" s="71"/>
    </x:row>
    <x:row r="46">
      <x:c r="A46" s="71" t="n">
        <x:v>50</x:v>
      </x:c>
      <x:c r="B46" s="77" t="n">
        <x:v>4560</x:v>
      </x:c>
      <x:c r="C46" s="71" t="str">
        <x:v>Current single-host benchmark</x:v>
      </x:c>
      <x:c r="D46" s="71" t="str">
        <x:v>PROVISIONAL — ESTIMATED</x:v>
      </x:c>
      <x:c r="E46" s="71"/>
      <x:c r="F46" s="71"/>
      <x:c r="G46" s="71"/>
      <x:c r="H46" s="71"/>
      <x:c r="I46" s="71"/>
      <x:c r="J46" s="71"/>
    </x:row>
    <x:row r="47">
      <x:c r="A47" s="71" t="n">
        <x:v>100</x:v>
      </x:c>
      <x:c r="B47" s="77" t="n">
        <x:v>7980</x:v>
      </x:c>
      <x:c r="C47" s="71" t="str">
        <x:v>Larger single host</x:v>
      </x:c>
      <x:c r="D47" s="71" t="str">
        <x:v>PROVISIONAL — ESTIMATED</x:v>
      </x:c>
      <x:c r="E47" s="71"/>
      <x:c r="F47" s="71"/>
      <x:c r="G47" s="71"/>
      <x:c r="H47" s="71"/>
      <x:c r="I47" s="71"/>
      <x:c r="J47" s="71"/>
    </x:row>
    <x:row r="48">
      <x:c r="A48" s="71" t="n">
        <x:v>500</x:v>
      </x:c>
      <x:c r="B48" s="77" t="n">
        <x:v>22800</x:v>
      </x:c>
      <x:c r="C48" s="71" t="str">
        <x:v>Separate app/DB or several VMs</x:v>
      </x:c>
      <x:c r="D48" s="71" t="str">
        <x:v>PROVISIONAL — ESTIMATED</x:v>
      </x:c>
      <x:c r="E48" s="71"/>
      <x:c r="F48" s="71"/>
      <x:c r="G48" s="71"/>
      <x:c r="H48" s="71"/>
      <x:c r="I48" s="71"/>
      <x:c r="J48" s="71"/>
    </x:row>
    <x:row r="49">
      <x:c r="A49" s="71" t="n">
        <x:v>1000</x:v>
      </x:c>
      <x:c r="B49" s="77" t="n">
        <x:v>45600</x:v>
      </x:c>
      <x:c r="C49" s="71" t="str">
        <x:v>HA app tier plus managed/replicated DB</x:v>
      </x:c>
      <x:c r="D49" s="71" t="str">
        <x:v>PROVISIONAL — ESTIMATED</x:v>
      </x:c>
      <x:c r="E49" s="71"/>
      <x:c r="F49" s="71"/>
      <x:c r="G49" s="71"/>
      <x:c r="H49" s="71"/>
      <x:c r="I49" s="71"/>
      <x:c r="J49" s="71"/>
    </x:row>
    <x:row r="50">
      <x:c r="A50" s="71" t="n">
        <x:v>5000</x:v>
      </x:c>
      <x:c r="B50" s="77" t="n">
        <x:v>182400</x:v>
      </x:c>
      <x:c r="C50" s="71" t="str">
        <x:v>Horizontal app tier, HA DB/Redis, object storage</x:v>
      </x:c>
      <x:c r="D50" s="71" t="str">
        <x:v>PROVISIONAL — ESTIMATED</x:v>
      </x:c>
      <x:c r="E50" s="71"/>
      <x:c r="F50" s="71"/>
      <x:c r="G50" s="71"/>
      <x:c r="H50" s="71"/>
      <x:c r="I50" s="71"/>
      <x:c r="J50" s="71"/>
    </x:row>
    <x:row r="51">
      <x:c r="A51" s="71" t="n">
        <x:v>10000</x:v>
      </x:c>
      <x:c r="B51" s="77" t="n">
        <x:v>342000</x:v>
      </x:c>
      <x:c r="C51" s="71" t="str">
        <x:v>Larger HA regional platform</x:v>
      </x:c>
      <x:c r="D51" s="71" t="str">
        <x:v>PROVISIONAL — ESTIMATED</x:v>
      </x:c>
      <x:c r="E51" s="71"/>
      <x:c r="F51" s="71"/>
      <x:c r="G51" s="71"/>
      <x:c r="H51" s="71"/>
      <x:c r="I51" s="71"/>
      <x:c r="J51" s="71"/>
    </x:row>
    <x:row r="52">
      <x:c r="A52" s="71"/>
      <x:c r="B52" s="71"/>
      <x:c r="C52" s="71"/>
      <x:c r="D52" s="71"/>
      <x:c r="E52" s="71"/>
      <x:c r="F52" s="71"/>
      <x:c r="G52" s="71"/>
      <x:c r="H52" s="71"/>
      <x:c r="I52" s="71"/>
      <x:c r="J52" s="71"/>
    </x:row>
    <x:row r="53">
      <x:c r="A53" s="71"/>
      <x:c r="B53" s="71"/>
      <x:c r="C53" s="71"/>
      <x:c r="D53" s="71"/>
      <x:c r="E53" s="71"/>
      <x:c r="F53" s="71"/>
      <x:c r="G53" s="71"/>
      <x:c r="H53" s="71"/>
      <x:c r="I53" s="71"/>
      <x:c r="J53" s="71"/>
    </x:row>
    <x:row r="54">
      <x:c r="A54" s="71"/>
      <x:c r="B54" s="71"/>
      <x:c r="C54" s="71"/>
      <x:c r="D54" s="71"/>
      <x:c r="E54" s="71"/>
      <x:c r="F54" s="71"/>
      <x:c r="G54" s="71"/>
      <x:c r="H54" s="71"/>
      <x:c r="I54" s="71"/>
      <x:c r="J54" s="71"/>
    </x:row>
    <x:row r="55">
      <x:c r="A55" s="71"/>
      <x:c r="B55" s="71"/>
      <x:c r="C55" s="71"/>
      <x:c r="D55" s="71"/>
      <x:c r="E55" s="71"/>
      <x:c r="F55" s="71"/>
      <x:c r="G55" s="71"/>
      <x:c r="H55" s="71"/>
      <x:c r="I55" s="71"/>
      <x:c r="J55" s="71"/>
    </x:row>
  </x:sheetData>
  <x:mergeCells>
    <x:mergeCell ref="A5:F5"/>
    <x:mergeCell ref="A26:J26"/>
    <x:mergeCell ref="A34:F34"/>
    <x:mergeCell ref="A43:D43"/>
  </x:mergeCells>
  <x:conditionalFormatting sqref="F40:F40">
    <x:cfRule type="containsText" dxfId="2" priority="1" operator="containsText" text="PASS"/>
    <x:cfRule type="notContainsText" dxfId="3" priority="2" text="PASS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7" hidden="0" customWidth="1"/>
  </x:cols>
  <x:sheetData>
    <x:row r="1">
      <x:c r="A1" s="26" t="str">
        <x:v>Plan unit economics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</x:row>
    <x:row r="2">
      <x:c r="A2" s="28" t="str">
        <x:v>PROVISIONAL until the Production Validation sheet is completed. Communication overages are excluded from subscription revenue.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</x:row>
    <x:row r="4">
      <x:c r="A4" s="29"/>
      <x:c r="B4" s="29"/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</x:row>
    <x:row r="5">
      <x:c r="A5" s="21" t="str">
        <x:v>Plan</x:v>
      </x:c>
      <x:c r="B5" s="21" t="str">
        <x:v>Revenue</x:v>
      </x:c>
      <x:c r="C5" s="21" t="str">
        <x:v>Avg tokens</x:v>
      </x:c>
      <x:c r="D5" s="21" t="str">
        <x:v>Included WhatsApp</x:v>
      </x:c>
      <x:c r="E5" s="21" t="str">
        <x:v>Fixed allocation</x:v>
      </x:c>
      <x:c r="F5" s="21" t="str">
        <x:v>Variable infra</x:v>
      </x:c>
      <x:c r="G5" s="21" t="str">
        <x:v>Communication</x:v>
      </x:c>
      <x:c r="H5" s="21" t="str">
        <x:v>Support allowance</x:v>
      </x:c>
      <x:c r="I5" s="21" t="str">
        <x:v>Payment fee</x:v>
      </x:c>
      <x:c r="J5" s="21" t="str">
        <x:v>Total COGS</x:v>
      </x:c>
      <x:c r="K5" s="21" t="str">
        <x:v>Gross profit</x:v>
      </x:c>
      <x:c r="L5" s="21" t="str">
        <x:v>Gross margin</x:v>
      </x:c>
      <x:c r="M5" s="21" t="str">
        <x:v>Required price at target GM</x:v>
      </x:c>
    </x:row>
    <x:row r="6">
      <x:c r="A6" s="29" t="str">
        <x:v>Starter</x:v>
      </x:c>
      <x:c r="B6" s="63" t="n">
        <x:f>Assumptions!B28</x:f>
        <x:v>999</x:v>
      </x:c>
      <x:c r="C6" s="63" t="n">
        <x:f>Assumptions!D28</x:f>
        <x:v>600</x:v>
      </x:c>
      <x:c r="D6" s="63" t="n">
        <x:f>Assumptions!I28</x:f>
        <x:v>100</x:v>
      </x:c>
      <x:c r="E6" s="63" t="n">
        <x:f>SUM(Assumptions!$B$8:$B$11)/Assumptions!$B$22</x:f>
        <x:v>56.1</x:v>
      </x:c>
      <x:c r="F6" s="63" t="n">
        <x:f>C6/1000*Assumptions!$B$15</x:f>
        <x:v>4.2</x:v>
      </x:c>
      <x:c r="G6" s="63" t="n">
        <x:f>D6*Assumptions!$B$12</x:f>
        <x:v>11.5</x:v>
      </x:c>
      <x:c r="H6" s="63" t="n">
        <x:f>B6*Assumptions!$B$14</x:f>
        <x:v>79.92</x:v>
      </x:c>
      <x:c r="I6" s="63" t="n">
        <x:f>B6*Assumptions!$B$13</x:f>
        <x:v>23.5764</x:v>
      </x:c>
      <x:c r="J6" s="63" t="n">
        <x:f>SUM(E6:I6)</x:f>
        <x:v>175.29640000000003</x:v>
      </x:c>
      <x:c r="K6" s="63" t="n">
        <x:f>B6-J6</x:f>
        <x:v>823.7035999999999</x:v>
      </x:c>
      <x:c r="L6" s="92" t="n">
        <x:f>K6/B6</x:f>
        <x:v>0.824528128128128</x:v>
      </x:c>
      <x:c r="M6" s="63" t="n">
        <x:f>(E6+F6+G6)/(1-Assumptions!$B$14-Assumptions!$B$13-Assumptions!$B$21)</x:f>
        <x:v>744.8132780082985</x:v>
      </x:c>
    </x:row>
    <x:row r="7">
      <x:c r="A7" s="29" t="str">
        <x:v>Growth</x:v>
      </x:c>
      <x:c r="B7" s="63" t="n">
        <x:f>Assumptions!B29</x:f>
        <x:v>2499</x:v>
      </x:c>
      <x:c r="C7" s="63" t="n">
        <x:f>Assumptions!D29</x:f>
        <x:v>3000</x:v>
      </x:c>
      <x:c r="D7" s="63" t="n">
        <x:f>Assumptions!I29</x:f>
        <x:v>300</x:v>
      </x:c>
      <x:c r="E7" s="63" t="n">
        <x:f>SUM(Assumptions!$B$8:$B$11)/Assumptions!$B$22</x:f>
        <x:v>56.1</x:v>
      </x:c>
      <x:c r="F7" s="63" t="n">
        <x:f>C7/1000*Assumptions!$B$15</x:f>
        <x:v>21</x:v>
      </x:c>
      <x:c r="G7" s="63" t="n">
        <x:f>D7*Assumptions!$B$12</x:f>
        <x:v>34.5</x:v>
      </x:c>
      <x:c r="H7" s="63" t="n">
        <x:f>B7*Assumptions!$B$14</x:f>
        <x:v>199.92000000000002</x:v>
      </x:c>
      <x:c r="I7" s="63" t="n">
        <x:f>B7*Assumptions!$B$13</x:f>
        <x:v>58.9764</x:v>
      </x:c>
      <x:c r="J7" s="63" t="n">
        <x:f>SUM(E7:I7)</x:f>
        <x:v>370.4964</x:v>
      </x:c>
      <x:c r="K7" s="63" t="n">
        <x:f>B7-J7</x:f>
        <x:v>2128.5036</x:v>
      </x:c>
      <x:c r="L7" s="92" t="n">
        <x:f>K7/B7</x:f>
        <x:v>0.8517421368547419</x:v>
      </x:c>
      <x:c r="M7" s="63" t="n">
        <x:f>(E7+F7+G7)/(1-Assumptions!$B$14-Assumptions!$B$13-Assumptions!$B$21)</x:f>
        <x:v>1157.6763485477172</x:v>
      </x:c>
    </x:row>
    <x:row r="8">
      <x:c r="A8" s="29" t="str">
        <x:v>Business</x:v>
      </x:c>
      <x:c r="B8" s="63" t="n">
        <x:f>Assumptions!B30</x:f>
        <x:v>6999</x:v>
      </x:c>
      <x:c r="C8" s="63" t="n">
        <x:f>Assumptions!D30</x:f>
        <x:v>12000</x:v>
      </x:c>
      <x:c r="D8" s="63" t="n">
        <x:f>Assumptions!I30</x:f>
        <x:v>1000</x:v>
      </x:c>
      <x:c r="E8" s="63" t="n">
        <x:f>SUM(Assumptions!$B$8:$B$11)/Assumptions!$B$22</x:f>
        <x:v>56.1</x:v>
      </x:c>
      <x:c r="F8" s="63" t="n">
        <x:f>C8/1000*Assumptions!$B$15</x:f>
        <x:v>84</x:v>
      </x:c>
      <x:c r="G8" s="63" t="n">
        <x:f>D8*Assumptions!$B$12</x:f>
        <x:v>115</x:v>
      </x:c>
      <x:c r="H8" s="63" t="n">
        <x:f>B8*Assumptions!$B$14</x:f>
        <x:v>559.92</x:v>
      </x:c>
      <x:c r="I8" s="63" t="n">
        <x:f>B8*Assumptions!$B$13</x:f>
        <x:v>165.1764</x:v>
      </x:c>
      <x:c r="J8" s="63" t="n">
        <x:f>SUM(E8:I8)</x:f>
        <x:v>980.1964</x:v>
      </x:c>
      <x:c r="K8" s="63" t="n">
        <x:f>B8-J8</x:f>
        <x:v>6018.8036</x:v>
      </x:c>
      <x:c r="L8" s="92" t="n">
        <x:f>K8/B8</x:f>
        <x:v>0.8599519359908558</x:v>
      </x:c>
      <x:c r="M8" s="63" t="n">
        <x:f>(E8+F8+G8)/(1-Assumptions!$B$14-Assumptions!$B$13-Assumptions!$B$21)</x:f>
        <x:v>2646.265560165974</x:v>
      </x:c>
    </x:row>
    <x:row r="9">
      <x:c r="A9" s="29" t="str">
        <x:v>Enterprise</x:v>
      </x:c>
      <x:c r="B9" s="63" t="n">
        <x:f>Assumptions!B31</x:f>
        <x:v>50000</x:v>
      </x:c>
      <x:c r="C9" s="63" t="n">
        <x:f>Assumptions!D31</x:f>
        <x:v>60000</x:v>
      </x:c>
      <x:c r="D9" s="63" t="n">
        <x:f>Assumptions!I31</x:f>
        <x:v>5000</x:v>
      </x:c>
      <x:c r="E9" s="63" t="n">
        <x:f>SUM(Assumptions!$B$8:$B$11)/Assumptions!$B$22</x:f>
        <x:v>56.1</x:v>
      </x:c>
      <x:c r="F9" s="63" t="n">
        <x:f>C9/1000*Assumptions!$B$15</x:f>
        <x:v>420</x:v>
      </x:c>
      <x:c r="G9" s="63" t="n">
        <x:f>D9*Assumptions!$B$12</x:f>
        <x:v>575</x:v>
      </x:c>
      <x:c r="H9" s="63" t="n">
        <x:f>B9*Assumptions!$B$14</x:f>
        <x:v>4000</x:v>
      </x:c>
      <x:c r="I9" s="63" t="n">
        <x:f>B9*Assumptions!$B$13</x:f>
        <x:v>1180</x:v>
      </x:c>
      <x:c r="J9" s="63" t="n">
        <x:f>SUM(E9:I9)</x:f>
        <x:v>6231.1</x:v>
      </x:c>
      <x:c r="K9" s="63" t="n">
        <x:f>B9-J9</x:f>
        <x:v>43768.9</x:v>
      </x:c>
      <x:c r="L9" s="92" t="n">
        <x:f>K9/B9</x:f>
        <x:v>0.875378</x:v>
      </x:c>
      <x:c r="M9" s="63" t="n">
        <x:f>(E9+F9+G9)/(1-Assumptions!$B$14-Assumptions!$B$13-Assumptions!$B$21)</x:f>
        <x:v>10903.526970954352</x:v>
      </x:c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</x:row>
    <x:row r="11">
      <x:c r="A11" s="93" t="str">
        <x:v>Interpretation</x:v>
      </x:c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</x:row>
    <x:row r="12">
      <x:c r="A12" s="71" t="str">
        <x:v>Communication exposure</x:v>
      </x:c>
      <x:c r="B12" s="71" t="str">
        <x:v>Included allowances are intentionally small. Sell additional WhatsApp, SMS and voice through prepaid wallets or customer-owned provider accounts.</x:v>
      </x:c>
      <x:c r="C12" s="71"/>
      <x:c r="D12" s="71"/>
      <x:c r="E12" s="71"/>
      <x:c r="F12" s="71"/>
      <x:c r="G12" s="71"/>
      <x:c r="H12" s="71"/>
      <x:c r="I12" s="71"/>
      <x:c r="J12" s="71"/>
      <x:c r="K12" s="71"/>
      <x:c r="L12" s="71"/>
      <x:c r="M12" s="71"/>
    </x:row>
    <x:row r="13">
      <x:c r="A13" s="71" t="str">
        <x:v>Margin warning</x:v>
      </x:c>
      <x:c r="B13" s="71" t="str">
        <x:v>If Q4Queue absorbs all WhatsApp messages, a high-usage customer can cost several thousand rupees per month even while core infrastructure remains cheap.</x:v>
      </x:c>
      <x:c r="C13" s="71"/>
      <x:c r="D13" s="71"/>
      <x:c r="E13" s="71"/>
      <x:c r="F13" s="71"/>
      <x:c r="G13" s="71"/>
      <x:c r="H13" s="71"/>
      <x:c r="I13" s="71"/>
      <x:c r="J13" s="71"/>
      <x:c r="K13" s="71"/>
      <x:c r="L13" s="71"/>
      <x:c r="M13" s="71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</x:row>
  </x:sheetData>
  <x:mergeCells>
    <x:mergeCell ref="B12:M12"/>
    <x:mergeCell ref="B13:M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</x:cols>
  <x:sheetData>
    <x:row r="1">
      <x:c r="A1" s="26" t="str">
        <x:v>Customer scale simulator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</x:row>
    <x:row r="2">
      <x:c r="A2" s="28" t="str">
        <x:v>PROVISIONAL until production inputs are supplied. Change the plan mix and cost inputs on Assumptions.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</x:row>
    <x:row r="4">
      <x:c r="A4" s="29"/>
      <x:c r="B4" s="29"/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</x:row>
    <x:row r="5">
      <x:c r="A5" s="21" t="str">
        <x:v>Organisations</x:v>
      </x:c>
      <x:c r="B5" s="21" t="str">
        <x:v>Weighted ARPU</x:v>
      </x:c>
      <x:c r="C5" s="21" t="str">
        <x:v>MRR</x:v>
      </x:c>
      <x:c r="D5" s="21" t="str">
        <x:v>Tokens / month</x:v>
      </x:c>
      <x:c r="E5" s="21" t="str">
        <x:v>API requests</x:v>
      </x:c>
      <x:c r="F5" s="21" t="str">
        <x:v>Live DB GB added / month</x:v>
      </x:c>
      <x:c r="G5" s="21" t="str">
        <x:v>Bandwidth GB</x:v>
      </x:c>
      <x:c r="H5" s="21" t="str">
        <x:v>Infra cost</x:v>
      </x:c>
      <x:c r="I5" s="21" t="str">
        <x:v>WhatsApp messages</x:v>
      </x:c>
      <x:c r="J5" s="21" t="str">
        <x:v>Communication cost</x:v>
      </x:c>
      <x:c r="K5" s="21" t="str">
        <x:v>Payment cost</x:v>
      </x:c>
      <x:c r="L5" s="21" t="str">
        <x:v>Support allowance</x:v>
      </x:c>
      <x:c r="M5" s="21" t="str">
        <x:v>Gross profit</x:v>
      </x:c>
      <x:c r="N5" s="21" t="str">
        <x:v>Gross margin</x:v>
      </x:c>
    </x:row>
    <x:row r="6">
      <x:c r="A6" s="62" t="n">
        <x:v>100</x:v>
      </x:c>
      <x:c r="B6" s="63" t="n">
        <x:f>Assumptions!$E$40</x:f>
        <x:v>2479.0099999999998</x:v>
      </x:c>
      <x:c r="C6" s="63" t="n">
        <x:f>A6*B6</x:f>
        <x:v>247900.99999999997</x:v>
      </x:c>
      <x:c r="D6" s="63" t="n">
        <x:f>A6*Assumptions!$C$40</x:f>
        <x:v>294000</x:v>
      </x:c>
      <x:c r="E6" s="63" t="n">
        <x:f>D6*Assumptions!$B$18</x:f>
        <x:v>1470000</x:v>
      </x:c>
      <x:c r="F6" s="94" t="n">
        <x:f>D6*Assumptions!$B$16/1048576</x:f>
        <x:v>2.803802490234375</x:v>
      </x:c>
      <x:c r="G6" s="94" t="n">
        <x:f>D6*Assumptions!$B$19/1024</x:f>
        <x:v>287.109375</x:v>
      </x:c>
      <x:c r="H6" s="63" t="n">
        <x:f>IF(A6&lt;=10,Assumptions!$B$45,IF(A6&lt;=50,Assumptions!$B$46,IF(A6&lt;=100,Assumptions!$B$47,IF(A6&lt;=500,Assumptions!$B$48,IF(A6&lt;=1000,Assumptions!$B$49,IF(A6&lt;=5000,Assumptions!$B$50,Assumptions!$B$51))))))</x:f>
        <x:v>7980</x:v>
      </x:c>
      <x:c r="I6" s="63" t="n">
        <x:f>A6*Assumptions!$D$40</x:f>
        <x:v>29000</x:v>
      </x:c>
      <x:c r="J6" s="63" t="n">
        <x:f>I6*Assumptions!$B$12</x:f>
        <x:v>3335</x:v>
      </x:c>
      <x:c r="K6" s="63" t="n">
        <x:f>C6*Assumptions!$B$13</x:f>
        <x:v>5850.463599999999</x:v>
      </x:c>
      <x:c r="L6" s="63" t="n">
        <x:f>C6*Assumptions!$B$14</x:f>
        <x:v>19832.079999999998</x:v>
      </x:c>
      <x:c r="M6" s="63" t="n">
        <x:f>C6-SUM(H6,J6:L6)</x:f>
        <x:v>210903.45639999997</x:v>
      </x:c>
      <x:c r="N6" s="92" t="n">
        <x:f>M6/C6</x:f>
        <x:v>0.850756779520857</x:v>
      </x:c>
    </x:row>
    <x:row r="7">
      <x:c r="A7" s="62" t="n">
        <x:v>500</x:v>
      </x:c>
      <x:c r="B7" s="63" t="n">
        <x:f>Assumptions!$E$40</x:f>
        <x:v>2479.0099999999998</x:v>
      </x:c>
      <x:c r="C7" s="63" t="n">
        <x:f>A7*B7</x:f>
        <x:v>1239504.9999999998</x:v>
      </x:c>
      <x:c r="D7" s="63" t="n">
        <x:f>A7*Assumptions!$C$40</x:f>
        <x:v>1470000</x:v>
      </x:c>
      <x:c r="E7" s="63" t="n">
        <x:f>D7*Assumptions!$B$18</x:f>
        <x:v>7350000</x:v>
      </x:c>
      <x:c r="F7" s="94" t="n">
        <x:f>D7*Assumptions!$B$16/1048576</x:f>
        <x:v>14.019012451171875</x:v>
      </x:c>
      <x:c r="G7" s="94" t="n">
        <x:f>D7*Assumptions!$B$19/1024</x:f>
        <x:v>1435.546875</x:v>
      </x:c>
      <x:c r="H7" s="63" t="n">
        <x:f>IF(A7&lt;=10,Assumptions!$B$45,IF(A7&lt;=50,Assumptions!$B$46,IF(A7&lt;=100,Assumptions!$B$47,IF(A7&lt;=500,Assumptions!$B$48,IF(A7&lt;=1000,Assumptions!$B$49,IF(A7&lt;=5000,Assumptions!$B$50,Assumptions!$B$51))))))</x:f>
        <x:v>22800</x:v>
      </x:c>
      <x:c r="I7" s="63" t="n">
        <x:f>A7*Assumptions!$D$40</x:f>
        <x:v>145000</x:v>
      </x:c>
      <x:c r="J7" s="63" t="n">
        <x:f>I7*Assumptions!$B$12</x:f>
        <x:v>16675</x:v>
      </x:c>
      <x:c r="K7" s="63" t="n">
        <x:f>C7*Assumptions!$B$13</x:f>
        <x:v>29252.317999999992</x:v>
      </x:c>
      <x:c r="L7" s="63" t="n">
        <x:f>C7*Assumptions!$B$14</x:f>
        <x:v>99160.39999999998</x:v>
      </x:c>
      <x:c r="M7" s="63" t="n">
        <x:f>C7-SUM(H7,J7:L7)</x:f>
        <x:v>1071617.282</x:v>
      </x:c>
      <x:c r="N7" s="92" t="n">
        <x:f>M7/C7</x:f>
        <x:v>0.8645526093077479</x:v>
      </x:c>
    </x:row>
    <x:row r="8">
      <x:c r="A8" s="62" t="n">
        <x:v>1000</x:v>
      </x:c>
      <x:c r="B8" s="63" t="n">
        <x:f>Assumptions!$E$40</x:f>
        <x:v>2479.0099999999998</x:v>
      </x:c>
      <x:c r="C8" s="63" t="n">
        <x:f>A8*B8</x:f>
        <x:v>2479009.9999999995</x:v>
      </x:c>
      <x:c r="D8" s="63" t="n">
        <x:f>A8*Assumptions!$C$40</x:f>
        <x:v>2940000</x:v>
      </x:c>
      <x:c r="E8" s="63" t="n">
        <x:f>D8*Assumptions!$B$18</x:f>
        <x:v>14700000</x:v>
      </x:c>
      <x:c r="F8" s="94" t="n">
        <x:f>D8*Assumptions!$B$16/1048576</x:f>
        <x:v>28.03802490234375</x:v>
      </x:c>
      <x:c r="G8" s="94" t="n">
        <x:f>D8*Assumptions!$B$19/1024</x:f>
        <x:v>2871.09375</x:v>
      </x:c>
      <x:c r="H8" s="63" t="n">
        <x:f>IF(A8&lt;=10,Assumptions!$B$45,IF(A8&lt;=50,Assumptions!$B$46,IF(A8&lt;=100,Assumptions!$B$47,IF(A8&lt;=500,Assumptions!$B$48,IF(A8&lt;=1000,Assumptions!$B$49,IF(A8&lt;=5000,Assumptions!$B$50,Assumptions!$B$51))))))</x:f>
        <x:v>45600</x:v>
      </x:c>
      <x:c r="I8" s="63" t="n">
        <x:f>A8*Assumptions!$D$40</x:f>
        <x:v>290000</x:v>
      </x:c>
      <x:c r="J8" s="63" t="n">
        <x:f>I8*Assumptions!$B$12</x:f>
        <x:v>33350</x:v>
      </x:c>
      <x:c r="K8" s="63" t="n">
        <x:f>C8*Assumptions!$B$13</x:f>
        <x:v>58504.635999999984</x:v>
      </x:c>
      <x:c r="L8" s="63" t="n">
        <x:f>C8*Assumptions!$B$14</x:f>
        <x:v>198320.79999999996</x:v>
      </x:c>
      <x:c r="M8" s="63" t="n">
        <x:f>C8-SUM(H8,J8:L8)</x:f>
        <x:v>2143234.564</x:v>
      </x:c>
      <x:c r="N8" s="92" t="n">
        <x:f>M8/C8</x:f>
        <x:v>0.8645526093077479</x:v>
      </x:c>
    </x:row>
    <x:row r="9">
      <x:c r="A9" s="62" t="n">
        <x:v>5000</x:v>
      </x:c>
      <x:c r="B9" s="63" t="n">
        <x:f>Assumptions!$E$40</x:f>
        <x:v>2479.0099999999998</x:v>
      </x:c>
      <x:c r="C9" s="63" t="n">
        <x:f>A9*B9</x:f>
        <x:v>12395049.999999998</x:v>
      </x:c>
      <x:c r="D9" s="63" t="n">
        <x:f>A9*Assumptions!$C$40</x:f>
        <x:v>14700000</x:v>
      </x:c>
      <x:c r="E9" s="63" t="n">
        <x:f>D9*Assumptions!$B$18</x:f>
        <x:v>73500000</x:v>
      </x:c>
      <x:c r="F9" s="94" t="n">
        <x:f>D9*Assumptions!$B$16/1048576</x:f>
        <x:v>140.19012451171875</x:v>
      </x:c>
      <x:c r="G9" s="94" t="n">
        <x:f>D9*Assumptions!$B$19/1024</x:f>
        <x:v>14355.46875</x:v>
      </x:c>
      <x:c r="H9" s="63" t="n">
        <x:f>IF(A9&lt;=10,Assumptions!$B$45,IF(A9&lt;=50,Assumptions!$B$46,IF(A9&lt;=100,Assumptions!$B$47,IF(A9&lt;=500,Assumptions!$B$48,IF(A9&lt;=1000,Assumptions!$B$49,IF(A9&lt;=5000,Assumptions!$B$50,Assumptions!$B$51))))))</x:f>
        <x:v>182400</x:v>
      </x:c>
      <x:c r="I9" s="63" t="n">
        <x:f>A9*Assumptions!$D$40</x:f>
        <x:v>1450000</x:v>
      </x:c>
      <x:c r="J9" s="63" t="n">
        <x:f>I9*Assumptions!$B$12</x:f>
        <x:v>166750</x:v>
      </x:c>
      <x:c r="K9" s="63" t="n">
        <x:f>C9*Assumptions!$B$13</x:f>
        <x:v>292523.17999999993</x:v>
      </x:c>
      <x:c r="L9" s="63" t="n">
        <x:f>C9*Assumptions!$B$14</x:f>
        <x:v>991603.9999999999</x:v>
      </x:c>
      <x:c r="M9" s="63" t="n">
        <x:f>C9-SUM(H9,J9:L9)</x:f>
        <x:v>10761772.819999998</x:v>
      </x:c>
      <x:c r="N9" s="92" t="n">
        <x:f>M9/C9</x:f>
        <x:v>0.8682314972509187</x:v>
      </x:c>
    </x:row>
    <x:row r="10">
      <x:c r="A10" s="62" t="n">
        <x:v>10000</x:v>
      </x:c>
      <x:c r="B10" s="63" t="n">
        <x:f>Assumptions!$E$40</x:f>
        <x:v>2479.0099999999998</x:v>
      </x:c>
      <x:c r="C10" s="63" t="n">
        <x:f>A10*B10</x:f>
        <x:v>24790099.999999996</x:v>
      </x:c>
      <x:c r="D10" s="63" t="n">
        <x:f>A10*Assumptions!$C$40</x:f>
        <x:v>29400000</x:v>
      </x:c>
      <x:c r="E10" s="63" t="n">
        <x:f>D10*Assumptions!$B$18</x:f>
        <x:v>147000000</x:v>
      </x:c>
      <x:c r="F10" s="94" t="n">
        <x:f>D10*Assumptions!$B$16/1048576</x:f>
        <x:v>280.3802490234375</x:v>
      </x:c>
      <x:c r="G10" s="94" t="n">
        <x:f>D10*Assumptions!$B$19/1024</x:f>
        <x:v>28710.9375</x:v>
      </x:c>
      <x:c r="H10" s="63" t="n">
        <x:f>IF(A10&lt;=10,Assumptions!$B$45,IF(A10&lt;=50,Assumptions!$B$46,IF(A10&lt;=100,Assumptions!$B$47,IF(A10&lt;=500,Assumptions!$B$48,IF(A10&lt;=1000,Assumptions!$B$49,IF(A10&lt;=5000,Assumptions!$B$50,Assumptions!$B$51))))))</x:f>
        <x:v>342000</x:v>
      </x:c>
      <x:c r="I10" s="63" t="n">
        <x:f>A10*Assumptions!$D$40</x:f>
        <x:v>2900000</x:v>
      </x:c>
      <x:c r="J10" s="63" t="n">
        <x:f>I10*Assumptions!$B$12</x:f>
        <x:v>333500</x:v>
      </x:c>
      <x:c r="K10" s="63" t="n">
        <x:f>C10*Assumptions!$B$13</x:f>
        <x:v>585046.3599999999</x:v>
      </x:c>
      <x:c r="L10" s="63" t="n">
        <x:f>C10*Assumptions!$B$14</x:f>
        <x:v>1983207.9999999998</x:v>
      </x:c>
      <x:c r="M10" s="63" t="n">
        <x:f>C10-SUM(H10,J10:L10)</x:f>
        <x:v>21546345.639999997</x:v>
      </x:c>
      <x:c r="N10" s="92" t="n">
        <x:f>M10/C10</x:f>
        <x:v>0.8691512192367115</x:v>
      </x:c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s="26" t="str">
        <x:v>Cost per customer-token volume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>
      <x:c r="A2" s="28" t="str">
        <x:v>Variable-cost view. Fixed infrastructure and support allocations are excluded from this table.</x:v>
      </x:c>
      <x:c r="B2" s="28"/>
      <x:c r="C2" s="28"/>
      <x:c r="D2" s="28"/>
      <x:c r="E2" s="28"/>
      <x:c r="F2" s="28"/>
      <x:c r="G2" s="28"/>
      <x:c r="H2" s="28"/>
      <x:c r="I2" s="28"/>
      <x:c r="J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</x:row>
    <x:row r="4">
      <x:c r="A4" s="29"/>
      <x:c r="B4" s="29"/>
      <x:c r="C4" s="29"/>
      <x:c r="D4" s="29"/>
      <x:c r="E4" s="29"/>
      <x:c r="F4" s="29"/>
      <x:c r="G4" s="29"/>
      <x:c r="H4" s="29"/>
      <x:c r="I4" s="29"/>
      <x:c r="J4" s="29"/>
    </x:row>
    <x:row r="5">
      <x:c r="A5" s="21" t="str">
        <x:v>Tokens / month</x:v>
      </x:c>
      <x:c r="B5" s="21" t="str">
        <x:v>API requests</x:v>
      </x:c>
      <x:c r="C5" s="21" t="str">
        <x:v>DB reads</x:v>
      </x:c>
      <x:c r="D5" s="21" t="str">
        <x:v>DB writes</x:v>
      </x:c>
      <x:c r="E5" s="21" t="str">
        <x:v>Live DB GB</x:v>
      </x:c>
      <x:c r="F5" s="21" t="str">
        <x:v>Stored GB incl. backups</x:v>
      </x:c>
      <x:c r="G5" s="21" t="str">
        <x:v>Bandwidth GB</x:v>
      </x:c>
      <x:c r="H5" s="21" t="str">
        <x:v>WhatsApp messages</x:v>
      </x:c>
      <x:c r="I5" s="21" t="str">
        <x:v>WhatsApp cost</x:v>
      </x:c>
      <x:c r="J5" s="21" t="str">
        <x:v>Total variable cost</x:v>
      </x:c>
    </x:row>
    <x:row r="6">
      <x:c r="A6" s="62" t="n">
        <x:v>1000</x:v>
      </x:c>
      <x:c r="B6" s="63" t="n">
        <x:f>A6*Assumptions!$B$18</x:f>
        <x:v>5000</x:v>
      </x:c>
      <x:c r="C6" s="63" t="n">
        <x:f>A6*75</x:f>
        <x:v>75000</x:v>
      </x:c>
      <x:c r="D6" s="63" t="n">
        <x:f>A6*23</x:f>
        <x:v>23000</x:v>
      </x:c>
      <x:c r="E6" s="94" t="n">
        <x:f>A6*Assumptions!$B$16/1048576</x:f>
        <x:v>0.0095367431640625</x:v>
      </x:c>
      <x:c r="F6" s="94" t="n">
        <x:f>E6*(1+Assumptions!$B$17)</x:f>
        <x:v>0.03337860107421875</x:v>
      </x:c>
      <x:c r="G6" s="94" t="n">
        <x:f>A6*Assumptions!$B$19/1024</x:f>
        <x:v>0.9765625</x:v>
      </x:c>
      <x:c r="H6" s="63" t="n">
        <x:f>A6*Assumptions!$B$20</x:f>
        <x:v>1600</x:v>
      </x:c>
      <x:c r="I6" s="63" t="n">
        <x:f>H6*Assumptions!$B$12</x:f>
        <x:v>184</x:v>
      </x:c>
      <x:c r="J6" s="63" t="n">
        <x:f>A6/1000*Assumptions!$B$15+I6</x:f>
        <x:v>191</x:v>
      </x:c>
    </x:row>
    <x:row r="7">
      <x:c r="A7" s="62" t="n">
        <x:v>10000</x:v>
      </x:c>
      <x:c r="B7" s="63" t="n">
        <x:f>A7*Assumptions!$B$18</x:f>
        <x:v>50000</x:v>
      </x:c>
      <x:c r="C7" s="63" t="n">
        <x:f>A7*75</x:f>
        <x:v>750000</x:v>
      </x:c>
      <x:c r="D7" s="63" t="n">
        <x:f>A7*23</x:f>
        <x:v>230000</x:v>
      </x:c>
      <x:c r="E7" s="94" t="n">
        <x:f>A7*Assumptions!$B$16/1048576</x:f>
        <x:v>0.095367431640625</x:v>
      </x:c>
      <x:c r="F7" s="94" t="n">
        <x:f>E7*(1+Assumptions!$B$17)</x:f>
        <x:v>0.3337860107421875</x:v>
      </x:c>
      <x:c r="G7" s="94" t="n">
        <x:f>A7*Assumptions!$B$19/1024</x:f>
        <x:v>9.765625</x:v>
      </x:c>
      <x:c r="H7" s="63" t="n">
        <x:f>A7*Assumptions!$B$20</x:f>
        <x:v>16000</x:v>
      </x:c>
      <x:c r="I7" s="63" t="n">
        <x:f>H7*Assumptions!$B$12</x:f>
        <x:v>1840</x:v>
      </x:c>
      <x:c r="J7" s="63" t="n">
        <x:f>A7/1000*Assumptions!$B$15+I7</x:f>
        <x:v>1910</x:v>
      </x:c>
    </x:row>
    <x:row r="8">
      <x:c r="A8" s="62" t="n">
        <x:v>50000</x:v>
      </x:c>
      <x:c r="B8" s="63" t="n">
        <x:f>A8*Assumptions!$B$18</x:f>
        <x:v>250000</x:v>
      </x:c>
      <x:c r="C8" s="63" t="n">
        <x:f>A8*75</x:f>
        <x:v>3750000</x:v>
      </x:c>
      <x:c r="D8" s="63" t="n">
        <x:f>A8*23</x:f>
        <x:v>1150000</x:v>
      </x:c>
      <x:c r="E8" s="94" t="n">
        <x:f>A8*Assumptions!$B$16/1048576</x:f>
        <x:v>0.476837158203125</x:v>
      </x:c>
      <x:c r="F8" s="94" t="n">
        <x:f>E8*(1+Assumptions!$B$17)</x:f>
        <x:v>1.6689300537109375</x:v>
      </x:c>
      <x:c r="G8" s="94" t="n">
        <x:f>A8*Assumptions!$B$19/1024</x:f>
        <x:v>48.828125</x:v>
      </x:c>
      <x:c r="H8" s="63" t="n">
        <x:f>A8*Assumptions!$B$20</x:f>
        <x:v>80000</x:v>
      </x:c>
      <x:c r="I8" s="63" t="n">
        <x:f>H8*Assumptions!$B$12</x:f>
        <x:v>9200</x:v>
      </x:c>
      <x:c r="J8" s="63" t="n">
        <x:f>A8/1000*Assumptions!$B$15+I8</x:f>
        <x:v>9550</x:v>
      </x:c>
    </x:row>
    <x:row r="9">
      <x:c r="A9" s="62" t="n">
        <x:v>100000</x:v>
      </x:c>
      <x:c r="B9" s="63" t="n">
        <x:f>A9*Assumptions!$B$18</x:f>
        <x:v>500000</x:v>
      </x:c>
      <x:c r="C9" s="63" t="n">
        <x:f>A9*75</x:f>
        <x:v>7500000</x:v>
      </x:c>
      <x:c r="D9" s="63" t="n">
        <x:f>A9*23</x:f>
        <x:v>2300000</x:v>
      </x:c>
      <x:c r="E9" s="94" t="n">
        <x:f>A9*Assumptions!$B$16/1048576</x:f>
        <x:v>0.95367431640625</x:v>
      </x:c>
      <x:c r="F9" s="94" t="n">
        <x:f>E9*(1+Assumptions!$B$17)</x:f>
        <x:v>3.337860107421875</x:v>
      </x:c>
      <x:c r="G9" s="94" t="n">
        <x:f>A9*Assumptions!$B$19/1024</x:f>
        <x:v>97.65625</x:v>
      </x:c>
      <x:c r="H9" s="63" t="n">
        <x:f>A9*Assumptions!$B$20</x:f>
        <x:v>160000</x:v>
      </x:c>
      <x:c r="I9" s="63" t="n">
        <x:f>H9*Assumptions!$B$12</x:f>
        <x:v>18400</x:v>
      </x:c>
      <x:c r="J9" s="63" t="n">
        <x:f>A9/1000*Assumptions!$B$15+I9</x:f>
        <x:v>19100</x:v>
      </x:c>
    </x:row>
    <x:row r="10">
      <x:c r="A10" s="62" t="n">
        <x:v>500000</x:v>
      </x:c>
      <x:c r="B10" s="63" t="n">
        <x:f>A10*Assumptions!$B$18</x:f>
        <x:v>2500000</x:v>
      </x:c>
      <x:c r="C10" s="63" t="n">
        <x:f>A10*75</x:f>
        <x:v>37500000</x:v>
      </x:c>
      <x:c r="D10" s="63" t="n">
        <x:f>A10*23</x:f>
        <x:v>11500000</x:v>
      </x:c>
      <x:c r="E10" s="94" t="n">
        <x:f>A10*Assumptions!$B$16/1048576</x:f>
        <x:v>4.76837158203125</x:v>
      </x:c>
      <x:c r="F10" s="94" t="n">
        <x:f>E10*(1+Assumptions!$B$17)</x:f>
        <x:v>16.689300537109375</x:v>
      </x:c>
      <x:c r="G10" s="94" t="n">
        <x:f>A10*Assumptions!$B$19/1024</x:f>
        <x:v>488.28125</x:v>
      </x:c>
      <x:c r="H10" s="63" t="n">
        <x:f>A10*Assumptions!$B$20</x:f>
        <x:v>800000</x:v>
      </x:c>
      <x:c r="I10" s="63" t="n">
        <x:f>H10*Assumptions!$B$12</x:f>
        <x:v>92000</x:v>
      </x:c>
      <x:c r="J10" s="63" t="n">
        <x:f>A10/1000*Assumptions!$B$15+I10</x:f>
        <x:v>95500</x:v>
      </x:c>
    </x:row>
    <x:row r="11">
      <x:c r="A11" s="62" t="n">
        <x:v>1000000</x:v>
      </x:c>
      <x:c r="B11" s="63" t="n">
        <x:f>A11*Assumptions!$B$18</x:f>
        <x:v>5000000</x:v>
      </x:c>
      <x:c r="C11" s="63" t="n">
        <x:f>A11*75</x:f>
        <x:v>75000000</x:v>
      </x:c>
      <x:c r="D11" s="63" t="n">
        <x:f>A11*23</x:f>
        <x:v>23000000</x:v>
      </x:c>
      <x:c r="E11" s="94" t="n">
        <x:f>A11*Assumptions!$B$16/1048576</x:f>
        <x:v>9.5367431640625</x:v>
      </x:c>
      <x:c r="F11" s="94" t="n">
        <x:f>E11*(1+Assumptions!$B$17)</x:f>
        <x:v>33.37860107421875</x:v>
      </x:c>
      <x:c r="G11" s="94" t="n">
        <x:f>A11*Assumptions!$B$19/1024</x:f>
        <x:v>976.5625</x:v>
      </x:c>
      <x:c r="H11" s="63" t="n">
        <x:f>A11*Assumptions!$B$20</x:f>
        <x:v>1600000</x:v>
      </x:c>
      <x:c r="I11" s="63" t="n">
        <x:f>H11*Assumptions!$B$12</x:f>
        <x:v>184000</x:v>
      </x:c>
      <x:c r="J11" s="63" t="n">
        <x:f>A11/1000*Assumptions!$B$15+I11</x:f>
        <x:v>191000</x:v>
      </x:c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>
      <x:c r="A1" s="26" t="str">
        <x:v>MRR customer-count matrix</x:v>
      </x:c>
      <x:c r="B1" s="27"/>
      <x:c r="C1" s="27"/>
      <x:c r="D1" s="27"/>
      <x:c r="E1" s="27"/>
      <x:c r="F1" s="27"/>
    </x:row>
    <x:row r="2">
      <x:c r="A2" s="28" t="str">
        <x:v>Counts round up to the next whole paying organisation. This is revenue targeting, before churn and tax.</x:v>
      </x:c>
      <x:c r="B2" s="28"/>
      <x:c r="C2" s="28"/>
      <x:c r="D2" s="28"/>
      <x:c r="E2" s="28"/>
      <x:c r="F2" s="28"/>
    </x:row>
    <x:row r="3">
      <x:c r="A3" s="29"/>
      <x:c r="B3" s="29"/>
      <x:c r="C3" s="29"/>
      <x:c r="D3" s="29"/>
      <x:c r="E3" s="29"/>
      <x:c r="F3" s="29"/>
    </x:row>
    <x:row r="4">
      <x:c r="A4" s="29"/>
      <x:c r="B4" s="29"/>
      <x:c r="C4" s="29"/>
      <x:c r="D4" s="29"/>
      <x:c r="E4" s="29"/>
      <x:c r="F4" s="29"/>
    </x:row>
    <x:row r="5">
      <x:c r="A5" s="21" t="str">
        <x:v>ARPU</x:v>
      </x:c>
      <x:c r="B5" s="21" t="str">
        <x:v>₹1 lakh MRR</x:v>
      </x:c>
      <x:c r="C5" s="21" t="str">
        <x:v>₹5 lakh MRR</x:v>
      </x:c>
      <x:c r="D5" s="21" t="str">
        <x:v>₹10 lakh MRR</x:v>
      </x:c>
      <x:c r="E5" s="21" t="str">
        <x:v>₹25 lakh MRR</x:v>
      </x:c>
      <x:c r="F5" s="21" t="str">
        <x:v>₹50 lakh MRR</x:v>
      </x:c>
    </x:row>
    <x:row r="6">
      <x:c r="A6" s="59" t="n">
        <x:v>500</x:v>
      </x:c>
      <x:c r="B6" s="63" t="n">
        <x:f>ROUNDUP(100000/A6,0)</x:f>
        <x:v>200</x:v>
      </x:c>
      <x:c r="C6" s="63" t="n">
        <x:f>ROUNDUP(500000/A6,0)</x:f>
        <x:v>1000</x:v>
      </x:c>
      <x:c r="D6" s="63" t="n">
        <x:f>ROUNDUP(1000000/A6,0)</x:f>
        <x:v>2000</x:v>
      </x:c>
      <x:c r="E6" s="63" t="n">
        <x:f>ROUNDUP(2500000/A6,0)</x:f>
        <x:v>5000</x:v>
      </x:c>
      <x:c r="F6" s="63" t="n">
        <x:f>ROUNDUP(5000000/A6,0)</x:f>
        <x:v>10000</x:v>
      </x:c>
    </x:row>
    <x:row r="7">
      <x:c r="A7" s="59" t="n">
        <x:v>1000</x:v>
      </x:c>
      <x:c r="B7" s="63" t="n">
        <x:f>ROUNDUP(100000/A7,0)</x:f>
        <x:v>100</x:v>
      </x:c>
      <x:c r="C7" s="63" t="n">
        <x:f>ROUNDUP(500000/A7,0)</x:f>
        <x:v>500</x:v>
      </x:c>
      <x:c r="D7" s="63" t="n">
        <x:f>ROUNDUP(1000000/A7,0)</x:f>
        <x:v>1000</x:v>
      </x:c>
      <x:c r="E7" s="63" t="n">
        <x:f>ROUNDUP(2500000/A7,0)</x:f>
        <x:v>2500</x:v>
      </x:c>
      <x:c r="F7" s="63" t="n">
        <x:f>ROUNDUP(5000000/A7,0)</x:f>
        <x:v>5000</x:v>
      </x:c>
    </x:row>
    <x:row r="8">
      <x:c r="A8" s="59" t="n">
        <x:v>2000</x:v>
      </x:c>
      <x:c r="B8" s="63" t="n">
        <x:f>ROUNDUP(100000/A8,0)</x:f>
        <x:v>50</x:v>
      </x:c>
      <x:c r="C8" s="63" t="n">
        <x:f>ROUNDUP(500000/A8,0)</x:f>
        <x:v>250</x:v>
      </x:c>
      <x:c r="D8" s="63" t="n">
        <x:f>ROUNDUP(1000000/A8,0)</x:f>
        <x:v>500</x:v>
      </x:c>
      <x:c r="E8" s="63" t="n">
        <x:f>ROUNDUP(2500000/A8,0)</x:f>
        <x:v>1250</x:v>
      </x:c>
      <x:c r="F8" s="63" t="n">
        <x:f>ROUNDUP(5000000/A8,0)</x:f>
        <x:v>2500</x:v>
      </x:c>
    </x:row>
    <x:row r="9">
      <x:c r="A9" s="59" t="n">
        <x:v>5000</x:v>
      </x:c>
      <x:c r="B9" s="63" t="n">
        <x:f>ROUNDUP(100000/A9,0)</x:f>
        <x:v>20</x:v>
      </x:c>
      <x:c r="C9" s="63" t="n">
        <x:f>ROUNDUP(500000/A9,0)</x:f>
        <x:v>100</x:v>
      </x:c>
      <x:c r="D9" s="63" t="n">
        <x:f>ROUNDUP(1000000/A9,0)</x:f>
        <x:v>200</x:v>
      </x:c>
      <x:c r="E9" s="63" t="n">
        <x:f>ROUNDUP(2500000/A9,0)</x:f>
        <x:v>500</x:v>
      </x:c>
      <x:c r="F9" s="63" t="n">
        <x:f>ROUNDUP(5000000/A9,0)</x:f>
        <x:v>1000</x:v>
      </x:c>
    </x:row>
    <x:row r="10">
      <x:c r="A10" s="59" t="n">
        <x:v>10000</x:v>
      </x:c>
      <x:c r="B10" s="63" t="n">
        <x:f>ROUNDUP(100000/A10,0)</x:f>
        <x:v>10</x:v>
      </x:c>
      <x:c r="C10" s="63" t="n">
        <x:f>ROUNDUP(500000/A10,0)</x:f>
        <x:v>50</x:v>
      </x:c>
      <x:c r="D10" s="63" t="n">
        <x:f>ROUNDUP(1000000/A10,0)</x:f>
        <x:v>100</x:v>
      </x:c>
      <x:c r="E10" s="63" t="n">
        <x:f>ROUNDUP(2500000/A10,0)</x:f>
        <x:v>250</x:v>
      </x:c>
      <x:c r="F10" s="63" t="n">
        <x:f>ROUNDUP(5000000/A10,0)</x:f>
        <x:v>500</x:v>
      </x:c>
    </x:row>
    <x:row r="11">
      <x:c r="A11" s="29"/>
      <x:c r="B11" s="29"/>
      <x:c r="C11" s="29"/>
      <x:c r="D11" s="29"/>
      <x:c r="E11" s="29"/>
      <x:c r="F11" s="29"/>
    </x:row>
    <x:row r="12">
      <x:c r="A12" s="29"/>
      <x:c r="B12" s="29"/>
      <x:c r="C12" s="29"/>
      <x:c r="D12" s="29"/>
      <x:c r="E12" s="29"/>
      <x:c r="F12" s="29"/>
    </x:row>
    <x:row r="13">
      <x:c r="A13" s="31" t="str">
        <x:v>Base infrastructure break-even</x:v>
      </x:c>
      <x:c r="B13" s="32" t="str">
        <x:v>Base infrastructure break-even</x:v>
      </x:c>
      <x:c r="C13" s="32" t="str">
        <x:v>Base infrastructure break-even</x:v>
      </x:c>
      <x:c r="D13" s="32" t="str">
        <x:v>Base infrastructure break-even</x:v>
      </x:c>
      <x:c r="E13" s="32" t="str">
        <x:v>Base infrastructure break-even</x:v>
      </x:c>
      <x:c r="F13" s="33" t="str">
        <x:v>Base infrastructure break-even</x:v>
      </x:c>
    </x:row>
    <x:row r="14">
      <x:c r="A14" s="21" t="str">
        <x:v>Plan</x:v>
      </x:c>
      <x:c r="B14" s="21" t="str">
        <x:v>Contribution before base infra</x:v>
      </x:c>
      <x:c r="C14" s="21" t="str">
        <x:v>Customers to cover ₹5,610 base cost</x:v>
      </x:c>
      <x:c r="D14" s="29"/>
      <x:c r="E14" s="29"/>
      <x:c r="F14" s="29"/>
    </x:row>
    <x:row r="15">
      <x:c r="A15" s="29" t="str">
        <x:v>Starter</x:v>
      </x:c>
      <x:c r="B15" s="63" t="n">
        <x:f>'Plan Economics'!B6-'Plan Economics'!F6-'Plan Economics'!G6-'Plan Economics'!H6-'Plan Economics'!I6</x:f>
        <x:v>879.8036</x:v>
      </x:c>
      <x:c r="C15" s="63" t="n">
        <x:f>ROUNDUP(SUM(Assumptions!$B$8:$B$11)/B15,0)</x:f>
        <x:v>7</x:v>
      </x:c>
      <x:c r="D15" s="29"/>
      <x:c r="E15" s="29"/>
      <x:c r="F15" s="29"/>
    </x:row>
    <x:row r="16">
      <x:c r="A16" s="29" t="str">
        <x:v>Growth</x:v>
      </x:c>
      <x:c r="B16" s="63" t="n">
        <x:f>'Plan Economics'!B7-'Plan Economics'!F7-'Plan Economics'!G7-'Plan Economics'!H7-'Plan Economics'!I7</x:f>
        <x:v>2184.6036</x:v>
      </x:c>
      <x:c r="C16" s="63" t="n">
        <x:f>ROUNDUP(SUM(Assumptions!$B$8:$B$11)/B16,0)</x:f>
        <x:v>3</x:v>
      </x:c>
      <x:c r="D16" s="29"/>
      <x:c r="E16" s="29"/>
      <x:c r="F16" s="29"/>
    </x:row>
    <x:row r="17">
      <x:c r="A17" s="29" t="str">
        <x:v>Business</x:v>
      </x:c>
      <x:c r="B17" s="63" t="n">
        <x:f>'Plan Economics'!B8-'Plan Economics'!F8-'Plan Economics'!G8-'Plan Economics'!H8-'Plan Economics'!I8</x:f>
        <x:v>6074.9036</x:v>
      </x:c>
      <x:c r="C17" s="63" t="n">
        <x:f>ROUNDUP(SUM(Assumptions!$B$8:$B$11)/B17,0)</x:f>
        <x:v>1</x:v>
      </x:c>
      <x:c r="D17" s="29"/>
      <x:c r="E17" s="29"/>
      <x:c r="F17" s="29"/>
    </x:row>
    <x:row r="18">
      <x:c r="A18" s="29" t="str">
        <x:v>Enterprise</x:v>
      </x:c>
      <x:c r="B18" s="63" t="n">
        <x:f>'Plan Economics'!B9-'Plan Economics'!F9-'Plan Economics'!G9-'Plan Economics'!H9-'Plan Economics'!I9</x:f>
        <x:v>43825</x:v>
      </x:c>
      <x:c r="C18" s="63" t="n">
        <x:f>ROUNDUP(SUM(Assumptions!$B$8:$B$11)/B18,0)</x:f>
        <x:v>1</x:v>
      </x:c>
      <x:c r="D18" s="29"/>
      <x:c r="E18" s="29"/>
      <x:c r="F18" s="29"/>
    </x:row>
    <x:row r="19">
      <x:c r="A19" s="29"/>
      <x:c r="B19" s="29"/>
      <x:c r="C19" s="29"/>
      <x:c r="D19" s="29"/>
      <x:c r="E19" s="29"/>
      <x:c r="F19" s="29"/>
    </x:row>
    <x:row r="20">
      <x:c r="A20" s="29"/>
      <x:c r="B20" s="29"/>
      <x:c r="C20" s="29"/>
      <x:c r="D20" s="29"/>
      <x:c r="E20" s="29"/>
      <x:c r="F20" s="29"/>
    </x:row>
  </x:sheetData>
  <x:mergeCells>
    <x:mergeCell ref="A13:F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6" hidden="0" customWidth="1"/>
    <x:col min="3" max="3" width="28" hidden="0" customWidth="1"/>
    <x:col min="4" max="4" width="22" hidden="0" customWidth="1"/>
    <x:col min="5" max="5" width="55" hidden="0" customWidth="1"/>
    <x:col min="6" max="6" width="44" hidden="0" customWidth="1"/>
  </x:cols>
  <x:sheetData>
    <x:row r="1">
      <x:c r="A1" s="26" t="str">
        <x:v>Sources and evidence map</x:v>
      </x:c>
      <x:c r="B1" s="27"/>
      <x:c r="C1" s="27"/>
      <x:c r="D1" s="27"/>
      <x:c r="E1" s="27"/>
      <x:c r="F1" s="27"/>
    </x:row>
    <x:row r="2">
      <x:c r="A2" s="28" t="str">
        <x:v>Provider prices accessed 2026-09-06. Code evidence refers to this Q4Queue workspace. Re-verify prices before launch.</x:v>
      </x:c>
      <x:c r="B2" s="28"/>
      <x:c r="C2" s="28"/>
      <x:c r="D2" s="28"/>
      <x:c r="E2" s="28"/>
      <x:c r="F2" s="28"/>
    </x:row>
    <x:row r="3">
      <x:c r="A3" s="29"/>
      <x:c r="B3" s="29"/>
      <x:c r="C3" s="29"/>
      <x:c r="D3" s="29"/>
      <x:c r="E3" s="29"/>
      <x:c r="F3" s="29"/>
    </x:row>
    <x:row r="4">
      <x:c r="A4" s="29"/>
      <x:c r="B4" s="29"/>
      <x:c r="C4" s="29"/>
      <x:c r="D4" s="29"/>
      <x:c r="E4" s="29"/>
      <x:c r="F4" s="29"/>
    </x:row>
    <x:row r="5">
      <x:c r="A5" s="21" t="str">
        <x:v>ID</x:v>
      </x:c>
      <x:c r="B5" s="21" t="str">
        <x:v>Item</x:v>
      </x:c>
      <x:c r="C5" s="21" t="str">
        <x:v>Evidence label</x:v>
      </x:c>
      <x:c r="D5" s="21" t="str">
        <x:v>Value used</x:v>
      </x:c>
      <x:c r="E5" s="21" t="str">
        <x:v>Source</x:v>
      </x:c>
      <x:c r="F5" s="21" t="str">
        <x:v>Notes</x:v>
      </x:c>
    </x:row>
    <x:row r="6">
      <x:c r="A6" s="71" t="str">
        <x:v>S1</x:v>
      </x:c>
      <x:c r="B6" s="71" t="str">
        <x:v>WhatsApp pricing</x:v>
      </x:c>
      <x:c r="C6" s="71" t="str">
        <x:v>ESTIMATED</x:v>
      </x:c>
      <x:c r="D6" s="71" t="str">
        <x:v>₹0.115 utility planning rate</x:v>
      </x:c>
      <x:c r="E6" s="71" t="str">
        <x:v>https://whatsappbusiness.com/products/platform-pricing/</x:v>
      </x:c>
      <x:c r="F6" s="71" t="str">
        <x:v>Official page verifies delivered/category/market model; exact India WABA rate needs account verification</x:v>
      </x:c>
    </x:row>
    <x:row r="7">
      <x:c r="A7" s="71" t="str">
        <x:v>S2</x:v>
      </x:c>
      <x:c r="B7" s="71" t="str">
        <x:v>Plivo voice India</x:v>
      </x:c>
      <x:c r="C7" s="71" t="str">
        <x:v>VERIFIED FROM PROVIDER PRICING</x:v>
      </x:c>
      <x:c r="D7" s="71" t="str">
        <x:v>₹0.25 WebRTC + ₹0.38 domestic/min</x:v>
      </x:c>
      <x:c r="E7" s="71" t="str">
        <x:v>https://www.plivo.com/voice/pricing/in/</x:v>
      </x:c>
      <x:c r="F7" s="71" t="str">
        <x:v>Forwarded calls can bill both legs</x:v>
      </x:c>
    </x:row>
    <x:row r="8">
      <x:c r="A8" s="71" t="str">
        <x:v>S3</x:v>
      </x:c>
      <x:c r="B8" s="71" t="str">
        <x:v>Plivo SMS India</x:v>
      </x:c>
      <x:c r="C8" s="71" t="str">
        <x:v>VERIFIED FROM PROVIDER PRICING</x:v>
      </x:c>
      <x:c r="D8" s="71" t="str">
        <x:v>₹0.20 domestic listed; ILDO $0.08</x:v>
      </x:c>
      <x:c r="E8" s="71" t="str">
        <x:v>https://www.plivo.com/sms/coverage/in/</x:v>
      </x:c>
      <x:c r="F8" s="71" t="str">
        <x:v>SMS not implemented; account eligibility and DLT route need quote</x:v>
      </x:c>
    </x:row>
    <x:row r="9">
      <x:c r="A9" s="71" t="str">
        <x:v>S4</x:v>
      </x:c>
      <x:c r="B9" s="71" t="str">
        <x:v>Server benchmark</x:v>
      </x:c>
      <x:c r="C9" s="71" t="str">
        <x:v>VERIFIED FROM PROVIDER PRICING</x:v>
      </x:c>
      <x:c r="D9" s="71" t="str">
        <x:v>$48/month, 4 vCPU, 8 GiB</x:v>
      </x:c>
      <x:c r="E9" s="71" t="str">
        <x:v>https://www.digitalocean.com/pricing/droplets</x:v>
      </x:c>
      <x:c r="F9" s="71" t="str">
        <x:v>Benchmark only; actual host provider is unknown</x:v>
      </x:c>
    </x:row>
    <x:row r="10">
      <x:c r="A10" s="71" t="str">
        <x:v>S5</x:v>
      </x:c>
      <x:c r="B10" s="71" t="str">
        <x:v>Payment benchmark</x:v>
      </x:c>
      <x:c r="C10" s="71" t="str">
        <x:v>VERIFIED FROM PROVIDER PRICING</x:v>
      </x:c>
      <x:c r="D10" s="71" t="str">
        <x:v>2% + GST</x:v>
      </x:c>
      <x:c r="E10" s="71" t="str">
        <x:v>https://razorpay.com/pricing/</x:v>
      </x:c>
      <x:c r="F10" s="71" t="str">
        <x:v>Razorpay is not implemented; planning benchmark</x:v>
      </x:c>
    </x:row>
    <x:row r="11">
      <x:c r="A11" s="71" t="str">
        <x:v>S6</x:v>
      </x:c>
      <x:c r="B11" s="71" t="str">
        <x:v>Email benchmark</x:v>
      </x:c>
      <x:c r="C11" s="71" t="str">
        <x:v>VERIFIED FROM PROVIDER PRICING</x:v>
      </x:c>
      <x:c r="D11" s="71" t="str">
        <x:v>₹650 flexible / ₹540 annual</x:v>
      </x:c>
      <x:c r="E11" s="71" t="str">
        <x:v>https://knowledge.workspace.google.com/admin/billing/compare-flexible-and-annual-fixed-term-payment-plans</x:v>
      </x:c>
      <x:c r="F11" s="71" t="str">
        <x:v>Code uses Gmail SMTP credentials; exact account is unknown</x:v>
      </x:c>
    </x:row>
    <x:row r="12">
      <x:c r="A12" s="71" t="str">
        <x:v>S7</x:v>
      </x:c>
      <x:c r="B12" s="71" t="str">
        <x:v>Object storage benchmark</x:v>
      </x:c>
      <x:c r="C12" s="71" t="str">
        <x:v>VERIFIED FROM PROVIDER PRICING</x:v>
      </x:c>
      <x:c r="D12" s="71" t="str">
        <x:v>Provider/region dependent</x:v>
      </x:c>
      <x:c r="E12" s="71" t="str">
        <x:v>https://cloud.google.com/storage/pricing</x:v>
      </x:c>
      <x:c r="F12" s="71" t="str">
        <x:v>No object storage is implemented</x:v>
      </x:c>
    </x:row>
    <x:row r="13">
      <x:c r="A13" s="71" t="str">
        <x:v>S8</x:v>
      </x:c>
      <x:c r="B13" s="71" t="str">
        <x:v>FX planning rate</x:v>
      </x:c>
      <x:c r="C13" s="71" t="str">
        <x:v>ASSUMPTION</x:v>
      </x:c>
      <x:c r="D13" s="71" t="str">
        <x:v>₹95/USD</x:v>
      </x:c>
      <x:c r="E13" s="71" t="str">
        <x:v>https://www.rbi.org.in/Scripts/BS_DisplayReferenceRate.aspx</x:v>
      </x:c>
      <x:c r="F13" s="71" t="str">
        <x:v>Update from FBIL/RBI reference rate before budgeting</x:v>
      </x:c>
    </x:row>
    <x:row r="14">
      <x:c r="A14" s="29"/>
      <x:c r="B14" s="29"/>
      <x:c r="C14" s="29"/>
      <x:c r="D14" s="29"/>
      <x:c r="E14" s="29"/>
      <x:c r="F14" s="29"/>
    </x:row>
    <x:row r="15">
      <x:c r="A15" s="29"/>
      <x:c r="B15" s="29"/>
      <x:c r="C15" s="29"/>
      <x:c r="D15" s="29"/>
      <x:c r="E15" s="29"/>
      <x:c r="F15" s="29"/>
    </x:row>
  </x:sheetData>
  <x:pageMargins left="0.7" right="0.7" top="0.75" bottom="0.75" header="0.3" footer="0.3"/>
</x:worksheet>
</file>